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mc:AlternateContent xmlns:mc="http://schemas.openxmlformats.org/markup-compatibility/2006">
    <mc:Choice Requires="x15">
      <x15ac:absPath xmlns:x15ac="http://schemas.microsoft.com/office/spreadsheetml/2010/11/ac" url="C:\Users\HP\Desktop\DATASET\"/>
    </mc:Choice>
  </mc:AlternateContent>
  <xr:revisionPtr revIDLastSave="0" documentId="13_ncr:1_{CFA3B759-612B-4843-AAEE-EEDB220599B8}" xr6:coauthVersionLast="47" xr6:coauthVersionMax="47" xr10:uidLastSave="{00000000-0000-0000-0000-000000000000}"/>
  <bookViews>
    <workbookView xWindow="-118" yWindow="-118" windowWidth="25370" windowHeight="14374" xr2:uid="{00000000-000D-0000-FFFF-FFFF00000000}"/>
  </bookViews>
  <sheets>
    <sheet name="shift wise report analysis" sheetId="8" r:id="rId1"/>
    <sheet name="Problem" sheetId="7" r:id="rId2"/>
    <sheet name="Reference Data" sheetId="6" r:id="rId3"/>
    <sheet name="Solution" sheetId="5" r:id="rId4"/>
  </sheets>
  <definedNames>
    <definedName name="Slicer_Shift">#N/A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8" i="7" l="1"/>
  <c r="H87" i="7"/>
  <c r="H86" i="7"/>
  <c r="H85" i="7"/>
  <c r="H82" i="7"/>
  <c r="H81" i="7"/>
  <c r="H76" i="7"/>
  <c r="H75" i="7"/>
  <c r="H74" i="7"/>
  <c r="H73" i="7"/>
  <c r="H70" i="7"/>
  <c r="H69" i="7"/>
  <c r="H64" i="7"/>
  <c r="H63" i="7"/>
  <c r="H62" i="7"/>
  <c r="H61" i="7"/>
  <c r="H58" i="7"/>
  <c r="H57" i="7"/>
  <c r="H52" i="7"/>
  <c r="H51" i="7"/>
  <c r="H50" i="7"/>
  <c r="H49" i="7"/>
  <c r="H46" i="7"/>
  <c r="H45" i="7"/>
  <c r="H40" i="7"/>
  <c r="H39" i="7"/>
  <c r="H38" i="7"/>
  <c r="H37" i="7"/>
  <c r="H34" i="7"/>
  <c r="H33" i="7"/>
  <c r="H28" i="7"/>
  <c r="H27" i="7"/>
  <c r="H26" i="7"/>
  <c r="H25" i="7"/>
  <c r="H22" i="7"/>
  <c r="H21" i="7"/>
  <c r="H16" i="7"/>
  <c r="H15" i="7"/>
  <c r="H14" i="7"/>
  <c r="H13" i="7"/>
  <c r="H10" i="7"/>
  <c r="H9" i="7"/>
  <c r="G5" i="7"/>
  <c r="H5" i="7" s="1"/>
  <c r="G6" i="7"/>
  <c r="H6" i="7" s="1"/>
  <c r="G7" i="7"/>
  <c r="H7" i="7" s="1"/>
  <c r="G8" i="7"/>
  <c r="H8" i="7" s="1"/>
  <c r="G9" i="7"/>
  <c r="G10" i="7"/>
  <c r="G11" i="7"/>
  <c r="H11" i="7" s="1"/>
  <c r="G12" i="7"/>
  <c r="H12" i="7" s="1"/>
  <c r="G13" i="7"/>
  <c r="G14" i="7"/>
  <c r="G15" i="7"/>
  <c r="G16" i="7"/>
  <c r="G17" i="7"/>
  <c r="H17" i="7" s="1"/>
  <c r="G18" i="7"/>
  <c r="H18" i="7" s="1"/>
  <c r="G19" i="7"/>
  <c r="H19" i="7" s="1"/>
  <c r="G20" i="7"/>
  <c r="H20" i="7" s="1"/>
  <c r="G21" i="7"/>
  <c r="G22" i="7"/>
  <c r="G23" i="7"/>
  <c r="H23" i="7" s="1"/>
  <c r="G24" i="7"/>
  <c r="H24" i="7" s="1"/>
  <c r="G25" i="7"/>
  <c r="G26" i="7"/>
  <c r="G27" i="7"/>
  <c r="G28" i="7"/>
  <c r="G29" i="7"/>
  <c r="H29" i="7" s="1"/>
  <c r="G30" i="7"/>
  <c r="H30" i="7" s="1"/>
  <c r="G31" i="7"/>
  <c r="H31" i="7" s="1"/>
  <c r="G32" i="7"/>
  <c r="H32" i="7" s="1"/>
  <c r="G33" i="7"/>
  <c r="G34" i="7"/>
  <c r="G35" i="7"/>
  <c r="H35" i="7" s="1"/>
  <c r="G36" i="7"/>
  <c r="H36" i="7" s="1"/>
  <c r="G37" i="7"/>
  <c r="G38" i="7"/>
  <c r="G39" i="7"/>
  <c r="G40" i="7"/>
  <c r="G41" i="7"/>
  <c r="H41" i="7" s="1"/>
  <c r="G42" i="7"/>
  <c r="H42" i="7" s="1"/>
  <c r="G43" i="7"/>
  <c r="H43" i="7" s="1"/>
  <c r="G44" i="7"/>
  <c r="H44" i="7" s="1"/>
  <c r="G45" i="7"/>
  <c r="G46" i="7"/>
  <c r="G47" i="7"/>
  <c r="H47" i="7" s="1"/>
  <c r="G48" i="7"/>
  <c r="H48" i="7" s="1"/>
  <c r="G49" i="7"/>
  <c r="G50" i="7"/>
  <c r="G51" i="7"/>
  <c r="G52" i="7"/>
  <c r="G53" i="7"/>
  <c r="H53" i="7" s="1"/>
  <c r="G54" i="7"/>
  <c r="H54" i="7" s="1"/>
  <c r="G55" i="7"/>
  <c r="H55" i="7" s="1"/>
  <c r="G56" i="7"/>
  <c r="H56" i="7" s="1"/>
  <c r="G57" i="7"/>
  <c r="G58" i="7"/>
  <c r="G59" i="7"/>
  <c r="H59" i="7" s="1"/>
  <c r="G60" i="7"/>
  <c r="H60" i="7" s="1"/>
  <c r="G61" i="7"/>
  <c r="G62" i="7"/>
  <c r="G63" i="7"/>
  <c r="G64" i="7"/>
  <c r="G65" i="7"/>
  <c r="H65" i="7" s="1"/>
  <c r="G66" i="7"/>
  <c r="H66" i="7" s="1"/>
  <c r="G67" i="7"/>
  <c r="H67" i="7" s="1"/>
  <c r="G68" i="7"/>
  <c r="H68" i="7" s="1"/>
  <c r="G69" i="7"/>
  <c r="G70" i="7"/>
  <c r="G71" i="7"/>
  <c r="H71" i="7" s="1"/>
  <c r="G72" i="7"/>
  <c r="H72" i="7" s="1"/>
  <c r="G73" i="7"/>
  <c r="G74" i="7"/>
  <c r="G75" i="7"/>
  <c r="G76" i="7"/>
  <c r="G77" i="7"/>
  <c r="H77" i="7" s="1"/>
  <c r="G78" i="7"/>
  <c r="H78" i="7" s="1"/>
  <c r="G79" i="7"/>
  <c r="H79" i="7" s="1"/>
  <c r="G80" i="7"/>
  <c r="H80" i="7" s="1"/>
  <c r="G81" i="7"/>
  <c r="G82" i="7"/>
  <c r="G83" i="7"/>
  <c r="H83" i="7" s="1"/>
  <c r="G84" i="7"/>
  <c r="H84" i="7" s="1"/>
  <c r="G85" i="7"/>
  <c r="G86" i="7"/>
  <c r="G87" i="7"/>
  <c r="G88" i="7"/>
  <c r="G89" i="7"/>
  <c r="H89" i="7" s="1"/>
  <c r="G90" i="7"/>
  <c r="H90" i="7" s="1"/>
  <c r="G91" i="7"/>
  <c r="H91" i="7" s="1"/>
  <c r="G92" i="7"/>
  <c r="H92" i="7" s="1"/>
  <c r="G6" i="5"/>
  <c r="G7" i="5"/>
  <c r="H7" i="5" s="1" a="1"/>
  <c r="H7" i="5" s="1"/>
  <c r="G8" i="5"/>
  <c r="G9" i="5"/>
  <c r="H9" i="5" s="1" a="1"/>
  <c r="H9" i="5" s="1"/>
  <c r="G10" i="5"/>
  <c r="G11" i="5"/>
  <c r="H11" i="5" s="1" a="1"/>
  <c r="H11" i="5" s="1"/>
  <c r="G12" i="5"/>
  <c r="G13" i="5"/>
  <c r="G14" i="5"/>
  <c r="G15" i="5"/>
  <c r="G16" i="5"/>
  <c r="G17" i="5"/>
  <c r="H17" i="5" s="1" a="1"/>
  <c r="H17" i="5" s="1"/>
  <c r="G18" i="5"/>
  <c r="G19" i="5"/>
  <c r="G20" i="5"/>
  <c r="G21" i="5"/>
  <c r="G22" i="5"/>
  <c r="G23" i="5"/>
  <c r="H23" i="5" s="1" a="1"/>
  <c r="H23" i="5" s="1"/>
  <c r="G24" i="5"/>
  <c r="G25" i="5"/>
  <c r="G26" i="5"/>
  <c r="G27" i="5"/>
  <c r="G28" i="5"/>
  <c r="G29" i="5"/>
  <c r="H29" i="5" s="1" a="1"/>
  <c r="H29" i="5" s="1"/>
  <c r="G30" i="5"/>
  <c r="G31" i="5"/>
  <c r="G32" i="5"/>
  <c r="G33" i="5"/>
  <c r="G34" i="5"/>
  <c r="G35" i="5"/>
  <c r="H35" i="5" s="1" a="1"/>
  <c r="H35" i="5" s="1"/>
  <c r="G36" i="5"/>
  <c r="G37" i="5"/>
  <c r="G38" i="5"/>
  <c r="G39" i="5"/>
  <c r="G40" i="5"/>
  <c r="G41" i="5"/>
  <c r="H41" i="5" s="1" a="1"/>
  <c r="H41" i="5" s="1"/>
  <c r="G42" i="5"/>
  <c r="H42" i="5" s="1" a="1"/>
  <c r="H42" i="5" s="1"/>
  <c r="G43" i="5"/>
  <c r="G44" i="5"/>
  <c r="G45" i="5"/>
  <c r="G46" i="5"/>
  <c r="G47" i="5"/>
  <c r="H47" i="5" s="1" a="1"/>
  <c r="H47" i="5" s="1"/>
  <c r="G48" i="5"/>
  <c r="G49" i="5"/>
  <c r="G50" i="5"/>
  <c r="G51" i="5"/>
  <c r="G52" i="5"/>
  <c r="G53" i="5"/>
  <c r="H53" i="5" s="1" a="1"/>
  <c r="H53" i="5" s="1"/>
  <c r="G54" i="5"/>
  <c r="G55" i="5"/>
  <c r="G56" i="5"/>
  <c r="G57" i="5"/>
  <c r="G58" i="5"/>
  <c r="G59" i="5"/>
  <c r="H59" i="5" s="1" a="1"/>
  <c r="H59" i="5" s="1"/>
  <c r="G60" i="5"/>
  <c r="G61" i="5"/>
  <c r="G62" i="5"/>
  <c r="G63" i="5"/>
  <c r="G64" i="5"/>
  <c r="G65" i="5"/>
  <c r="G66" i="5"/>
  <c r="G67" i="5"/>
  <c r="G68" i="5"/>
  <c r="G69" i="5"/>
  <c r="G70" i="5"/>
  <c r="G71" i="5"/>
  <c r="H71" i="5" s="1" a="1"/>
  <c r="H71" i="5" s="1"/>
  <c r="G72" i="5"/>
  <c r="G73" i="5"/>
  <c r="G74" i="5"/>
  <c r="G75" i="5"/>
  <c r="G76" i="5"/>
  <c r="G77" i="5"/>
  <c r="H77" i="5" s="1" a="1"/>
  <c r="H77" i="5" s="1"/>
  <c r="G78" i="5"/>
  <c r="H78" i="5" s="1" a="1"/>
  <c r="H78" i="5" s="1"/>
  <c r="G79" i="5"/>
  <c r="G80" i="5"/>
  <c r="G81" i="5"/>
  <c r="G82" i="5"/>
  <c r="G83" i="5"/>
  <c r="H83" i="5" s="1" a="1"/>
  <c r="H83" i="5" s="1"/>
  <c r="G84" i="5"/>
  <c r="G85" i="5"/>
  <c r="G86" i="5"/>
  <c r="G87" i="5"/>
  <c r="G88" i="5"/>
  <c r="G89" i="5"/>
  <c r="H89" i="5" s="1" a="1"/>
  <c r="H89" i="5" s="1"/>
  <c r="G90" i="5"/>
  <c r="G91" i="5"/>
  <c r="G92" i="5"/>
  <c r="G5" i="5"/>
  <c r="H5" i="5" s="1" a="1"/>
  <c r="H5" i="5" s="1"/>
  <c r="N46" i="5" a="1"/>
  <c r="N46" i="5" s="1"/>
  <c r="N47" i="5" a="1"/>
  <c r="N47" i="5" s="1"/>
  <c r="N48" i="5" a="1"/>
  <c r="N48" i="5" s="1"/>
  <c r="N49" i="5" a="1"/>
  <c r="N49" i="5" s="1"/>
  <c r="N45" i="5" a="1"/>
  <c r="N45" i="5" s="1"/>
  <c r="O46" i="5" a="1"/>
  <c r="O46" i="5" s="1"/>
  <c r="P46" i="5" s="1"/>
  <c r="O47" i="5" a="1"/>
  <c r="O47" i="5" s="1"/>
  <c r="P47" i="5" s="1"/>
  <c r="O48" i="5" a="1"/>
  <c r="O48" i="5" s="1"/>
  <c r="O49" i="5" a="1"/>
  <c r="O49" i="5" s="1"/>
  <c r="P49" i="5" s="1"/>
  <c r="O45" i="5" a="1"/>
  <c r="O45" i="5" s="1"/>
  <c r="P45" i="5" s="1"/>
  <c r="H12" i="5" a="1"/>
  <c r="H12" i="5" s="1"/>
  <c r="H18" i="5" a="1"/>
  <c r="H18" i="5" s="1"/>
  <c r="H24" i="5" a="1"/>
  <c r="H24" i="5" s="1"/>
  <c r="H30" i="5" a="1"/>
  <c r="H30" i="5" s="1"/>
  <c r="H36" i="5" a="1"/>
  <c r="H36" i="5" s="1"/>
  <c r="H48" i="5" a="1"/>
  <c r="H48" i="5" s="1"/>
  <c r="H54" i="5" a="1"/>
  <c r="H54" i="5" s="1"/>
  <c r="H60" i="5" a="1"/>
  <c r="H60" i="5" s="1"/>
  <c r="H66" i="5" a="1"/>
  <c r="H66" i="5" s="1"/>
  <c r="H72" i="5" a="1"/>
  <c r="H72" i="5" s="1"/>
  <c r="H84" i="5" a="1"/>
  <c r="H84" i="5" s="1"/>
  <c r="H90" i="5" a="1"/>
  <c r="H90" i="5" s="1"/>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5" i="5"/>
  <c r="J6" i="5"/>
  <c r="J7" i="5"/>
  <c r="J8" i="5"/>
  <c r="O34" i="5" s="1"/>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5" i="5"/>
  <c r="N35" i="5" s="1"/>
  <c r="H6" i="5" a="1"/>
  <c r="H6" i="5" s="1"/>
  <c r="N24" i="5"/>
  <c r="N30" i="5" s="1"/>
  <c r="O24" i="5"/>
  <c r="O30" i="5" s="1"/>
  <c r="O23" i="5"/>
  <c r="O29" i="5" s="1"/>
  <c r="N23" i="5"/>
  <c r="N29" i="5" s="1"/>
  <c r="H8" i="5" a="1"/>
  <c r="H8" i="5" s="1"/>
  <c r="H10" i="5" a="1"/>
  <c r="H10" i="5" s="1"/>
  <c r="H13" i="5" a="1"/>
  <c r="H13" i="5" s="1"/>
  <c r="H14" i="5" a="1"/>
  <c r="H14" i="5" s="1"/>
  <c r="H15" i="5" a="1"/>
  <c r="H15" i="5" s="1"/>
  <c r="H16" i="5" a="1"/>
  <c r="H16" i="5" s="1"/>
  <c r="H19" i="5" a="1"/>
  <c r="H19" i="5" s="1"/>
  <c r="H20" i="5" a="1"/>
  <c r="H20" i="5" s="1"/>
  <c r="H21" i="5" a="1"/>
  <c r="H21" i="5" s="1"/>
  <c r="H22" i="5" a="1"/>
  <c r="H22" i="5" s="1"/>
  <c r="H25" i="5" a="1"/>
  <c r="H25" i="5" s="1"/>
  <c r="H26" i="5" a="1"/>
  <c r="H26" i="5" s="1"/>
  <c r="H27" i="5" a="1"/>
  <c r="H27" i="5" s="1"/>
  <c r="H28" i="5" a="1"/>
  <c r="H28" i="5" s="1"/>
  <c r="H31" i="5" a="1"/>
  <c r="H31" i="5" s="1"/>
  <c r="H32" i="5" a="1"/>
  <c r="H32" i="5" s="1"/>
  <c r="H33" i="5" a="1"/>
  <c r="H33" i="5" s="1"/>
  <c r="H34" i="5" a="1"/>
  <c r="H34" i="5" s="1"/>
  <c r="H37" i="5" a="1"/>
  <c r="H37" i="5" s="1"/>
  <c r="H38" i="5" a="1"/>
  <c r="H38" i="5" s="1"/>
  <c r="H39" i="5" a="1"/>
  <c r="H39" i="5" s="1"/>
  <c r="H40" i="5" a="1"/>
  <c r="H40" i="5" s="1"/>
  <c r="H43" i="5" a="1"/>
  <c r="H43" i="5" s="1"/>
  <c r="H44" i="5" a="1"/>
  <c r="H44" i="5" s="1"/>
  <c r="H45" i="5" a="1"/>
  <c r="H45" i="5" s="1"/>
  <c r="H46" i="5" a="1"/>
  <c r="H46" i="5" s="1"/>
  <c r="H49" i="5" a="1"/>
  <c r="H49" i="5" s="1"/>
  <c r="H50" i="5" a="1"/>
  <c r="H50" i="5" s="1"/>
  <c r="H51" i="5" a="1"/>
  <c r="H51" i="5" s="1"/>
  <c r="H52" i="5" a="1"/>
  <c r="H52" i="5" s="1"/>
  <c r="H55" i="5" a="1"/>
  <c r="H55" i="5" s="1"/>
  <c r="H56" i="5" a="1"/>
  <c r="H56" i="5" s="1"/>
  <c r="H57" i="5" a="1"/>
  <c r="H57" i="5" s="1"/>
  <c r="H58" i="5" a="1"/>
  <c r="H58" i="5" s="1"/>
  <c r="H61" i="5" a="1"/>
  <c r="H61" i="5" s="1"/>
  <c r="H62" i="5" a="1"/>
  <c r="H62" i="5" s="1"/>
  <c r="H63" i="5" a="1"/>
  <c r="H63" i="5" s="1"/>
  <c r="H64" i="5" a="1"/>
  <c r="H64" i="5" s="1"/>
  <c r="H65" i="5" a="1"/>
  <c r="H65" i="5" s="1"/>
  <c r="H67" i="5" a="1"/>
  <c r="H67" i="5" s="1"/>
  <c r="H68" i="5" a="1"/>
  <c r="H68" i="5" s="1"/>
  <c r="H69" i="5" a="1"/>
  <c r="H69" i="5" s="1"/>
  <c r="H70" i="5" a="1"/>
  <c r="H70" i="5" s="1"/>
  <c r="H73" i="5" a="1"/>
  <c r="H73" i="5" s="1"/>
  <c r="H74" i="5" a="1"/>
  <c r="H74" i="5" s="1"/>
  <c r="H75" i="5" a="1"/>
  <c r="H75" i="5" s="1"/>
  <c r="H76" i="5" a="1"/>
  <c r="H76" i="5" s="1"/>
  <c r="H79" i="5" a="1"/>
  <c r="H79" i="5" s="1"/>
  <c r="H80" i="5" a="1"/>
  <c r="H80" i="5" s="1"/>
  <c r="H81" i="5" a="1"/>
  <c r="H81" i="5" s="1"/>
  <c r="H82" i="5" a="1"/>
  <c r="H82" i="5" s="1"/>
  <c r="H85" i="5" a="1"/>
  <c r="H85" i="5" s="1"/>
  <c r="H86" i="5" a="1"/>
  <c r="H86" i="5" s="1"/>
  <c r="H87" i="5" a="1"/>
  <c r="H87" i="5" s="1"/>
  <c r="H88" i="5" a="1"/>
  <c r="H88" i="5" s="1"/>
  <c r="H91" i="5" a="1"/>
  <c r="H91" i="5" s="1"/>
  <c r="H92" i="5" a="1"/>
  <c r="H92" i="5" s="1"/>
  <c r="P48" i="5" l="1"/>
  <c r="N34" i="5"/>
  <c r="P34" i="5" s="1"/>
  <c r="O38" i="5"/>
  <c r="P38" i="5" s="1"/>
  <c r="N38" i="5"/>
  <c r="O37" i="5"/>
  <c r="N37" i="5"/>
  <c r="P37" i="5" s="1"/>
  <c r="O36" i="5"/>
  <c r="N36" i="5"/>
  <c r="P36" i="5" s="1"/>
  <c r="O35" i="5"/>
  <c r="P35" i="5" s="1"/>
  <c r="P29" i="5"/>
  <c r="P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Rafiul Haq</author>
  </authors>
  <commentList>
    <comment ref="G4" authorId="0" shapeId="0" xr:uid="{5F74BD11-63BA-4C3A-A963-1D4C597AEE08}">
      <text>
        <r>
          <rPr>
            <b/>
            <sz val="14"/>
            <color indexed="81"/>
            <rFont val="Tahoma"/>
            <family val="2"/>
          </rPr>
          <t>Task 01.</t>
        </r>
      </text>
    </comment>
    <comment ref="H4" authorId="0" shapeId="0" xr:uid="{FBD0D2E9-218A-4CE3-A9BF-5B8BE9AE401A}">
      <text>
        <r>
          <rPr>
            <b/>
            <sz val="14"/>
            <color indexed="81"/>
            <rFont val="Tahoma"/>
            <family val="2"/>
          </rPr>
          <t>Task 02.</t>
        </r>
      </text>
    </comment>
    <comment ref="I4" authorId="0" shapeId="0" xr:uid="{FF0F94E0-4EBC-40B6-BCAA-4587827793AF}">
      <text>
        <r>
          <rPr>
            <b/>
            <sz val="14"/>
            <color indexed="81"/>
            <rFont val="Tahoma"/>
            <family val="2"/>
          </rPr>
          <t xml:space="preserve">Task 05 
</t>
        </r>
        <r>
          <rPr>
            <sz val="10"/>
            <color indexed="81"/>
            <rFont val="Tahoma"/>
            <family val="2"/>
          </rPr>
          <t>Helper Column</t>
        </r>
      </text>
    </comment>
    <comment ref="J4" authorId="0" shapeId="0" xr:uid="{001B83F1-528F-488A-A7A4-FD328A6719B1}">
      <text>
        <r>
          <rPr>
            <b/>
            <sz val="14"/>
            <color indexed="81"/>
            <rFont val="Tahoma"/>
            <family val="2"/>
          </rPr>
          <t xml:space="preserve">Task 05
</t>
        </r>
        <r>
          <rPr>
            <sz val="10"/>
            <color indexed="81"/>
            <rFont val="Tahoma"/>
            <family val="2"/>
          </rPr>
          <t>Helper Column</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<sst xmlns="http://schemas.openxmlformats.org/spreadsheetml/2006/main" count="435" uniqueCount="43">
  <si>
    <t>Excel Data for Practice Free Download</t>
  </si>
  <si>
    <t>Date</t>
  </si>
  <si>
    <t>Sales Rep</t>
  </si>
  <si>
    <t>Cost Price</t>
  </si>
  <si>
    <t>Selling Price</t>
  </si>
  <si>
    <t>Profit</t>
  </si>
  <si>
    <t>Ben</t>
  </si>
  <si>
    <t>Jacob</t>
  </si>
  <si>
    <t>Shift</t>
  </si>
  <si>
    <t>Day</t>
  </si>
  <si>
    <t>Night</t>
  </si>
  <si>
    <t>Commission</t>
  </si>
  <si>
    <t>Payment per Shift</t>
  </si>
  <si>
    <t>Commission %</t>
  </si>
  <si>
    <t>Profit %</t>
  </si>
  <si>
    <t>Below 12%</t>
  </si>
  <si>
    <t>12% to 20%</t>
  </si>
  <si>
    <t>More than 20%</t>
  </si>
  <si>
    <t>Commission Data</t>
  </si>
  <si>
    <t>ShiftWise Daily Payment</t>
  </si>
  <si>
    <t>Name</t>
  </si>
  <si>
    <t>Total</t>
  </si>
  <si>
    <t>Task 03</t>
  </si>
  <si>
    <t>Task 04</t>
  </si>
  <si>
    <t>Task 05</t>
  </si>
  <si>
    <t>Monday</t>
  </si>
  <si>
    <t>Tuesday</t>
  </si>
  <si>
    <t>Wednesday</t>
  </si>
  <si>
    <t>Thursday</t>
  </si>
  <si>
    <t>Friday</t>
  </si>
  <si>
    <t>Weekday</t>
  </si>
  <si>
    <t>Week Day Calculation</t>
  </si>
  <si>
    <t>Digit</t>
  </si>
  <si>
    <t>Total Profit</t>
  </si>
  <si>
    <t>Mean Profit</t>
  </si>
  <si>
    <r>
      <t xml:space="preserve">The company earns maximum average profit on </t>
    </r>
    <r>
      <rPr>
        <sz val="14"/>
        <color rgb="FFFF0000"/>
        <rFont val="Calibri"/>
        <family val="2"/>
        <scheme val="minor"/>
      </rPr>
      <t>Tuesday</t>
    </r>
    <r>
      <rPr>
        <sz val="14"/>
        <rFont val="Calibri"/>
        <family val="2"/>
        <scheme val="minor"/>
      </rPr>
      <t>.</t>
    </r>
  </si>
  <si>
    <t>Task 05 Alternate Solution (Without Helper Columns, Using SUMPRODUCT)</t>
  </si>
  <si>
    <t>Row Labels</t>
  </si>
  <si>
    <t>Grand Total</t>
  </si>
  <si>
    <t>Count of Shift</t>
  </si>
  <si>
    <t>Sum of Profit %</t>
  </si>
  <si>
    <t>Sum of Selling Price</t>
  </si>
  <si>
    <t>Sum of Cost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</si>
</sst>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quot;$&quot;#,##0.00"/>
    <numFmt numFmtId="166" formatCode="&quot;$&quot;#,##0"/>
    <numFmt numFmtId="167" formatCode="0.0%"/>
  </numFmts>
  <fonts count="1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b/>
      <sz val="16"/>
      <color theme="3"/>
      <name val="Calibri"/>
      <family val="2"/>
      <scheme val="minor"/>
    </font>
    <font>
      <sz val="11"/>
      <color theme="1"/>
      <name val="Calibri"/>
      <family val="2"/>
      <scheme val="minor"/>
    </font>
    <font>
      <b/>
      <sz val="12"/>
      <color theme="1"/>
      <name val="Calibri"/>
      <family val="2"/>
      <scheme val="minor"/>
    </font>
    <font>
      <b/>
      <sz val="14"/>
      <color indexed="81"/>
      <name val="Tahoma"/>
      <family val="2"/>
    </font>
    <font>
      <sz val="14"/>
      <color theme="1"/>
      <name val="Calibri"/>
      <family val="2"/>
      <scheme val="minor"/>
    </font>
    <font>
      <sz val="14"/>
      <name val="Calibri"/>
      <family val="2"/>
      <scheme val="minor"/>
    </font>
    <font>
      <sz val="14"/>
      <color rgb="FFFF0000"/>
      <name val="Calibri"/>
      <family val="2"/>
      <scheme val="minor"/>
    </font>
    <font>
      <sz val="10"/>
      <color indexed="81"/>
      <name val="Tahoma"/>
      <family val="2"/>
    </font>
  </fonts>
  <fills count="6">
    <fill>
      <patternFill patternType="none"/>
    </fill>
    <fill>
      <patternFill patternType="gray125"/>
    </fill>
    <fill>
      <patternFill patternType="solid">
        <fgColor rgb="FFECFFCC"/>
        <bgColor indexed="64"/>
      </patternFill>
    </fill>
    <fill>
      <patternFill patternType="solid">
        <fgColor rgb="FFD9D9FF"/>
        <bgColor indexed="64"/>
      </patternFill>
    </fill>
    <fill>
      <patternFill patternType="solid">
        <fgColor rgb="FFFFCCEC"/>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6" fillId="0" borderId="2" applyNumberFormat="0" applyFill="0" applyAlignment="0" applyProtection="0"/>
    <xf numFmtId="164" fontId="7" fillId="0" borderId="0" applyFont="0" applyFill="0" applyBorder="0" applyAlignment="0" applyProtection="0"/>
    <xf numFmtId="9" fontId="7" fillId="0" borderId="0" applyFont="0" applyFill="0" applyBorder="0" applyAlignment="0" applyProtection="0"/>
  </cellStyleXfs>
  <cellXfs count="39">
    <xf numFmtId="0" fontId="0" fillId="0" borderId="0" xfId="0"/>
    <xf numFmtId="0" fontId="4" fillId="0" borderId="0" xfId="0" applyFont="1" applyAlignment="1">
      <alignment vertical="center"/>
    </xf>
    <xf numFmtId="14" fontId="4" fillId="0" borderId="0" xfId="0" applyNumberFormat="1" applyFont="1" applyAlignment="1">
      <alignment vertical="center"/>
    </xf>
    <xf numFmtId="0" fontId="4" fillId="0" borderId="1" xfId="0" applyFont="1" applyBorder="1" applyAlignment="1">
      <alignment vertical="center"/>
    </xf>
    <xf numFmtId="0" fontId="5" fillId="2" borderId="1" xfId="0" applyFont="1" applyFill="1" applyBorder="1" applyAlignment="1">
      <alignment horizontal="center" vertical="center"/>
    </xf>
    <xf numFmtId="14" fontId="4" fillId="0" borderId="1" xfId="0" applyNumberFormat="1" applyFont="1" applyBorder="1" applyAlignment="1">
      <alignment vertical="center"/>
    </xf>
    <xf numFmtId="0" fontId="3" fillId="0" borderId="1" xfId="0" applyFont="1" applyBorder="1" applyAlignment="1">
      <alignment vertical="center"/>
    </xf>
    <xf numFmtId="165" fontId="4" fillId="0" borderId="1" xfId="2" applyNumberFormat="1" applyFont="1" applyBorder="1" applyAlignment="1">
      <alignment vertical="center"/>
    </xf>
    <xf numFmtId="165" fontId="4" fillId="0" borderId="1" xfId="0" applyNumberFormat="1" applyFont="1" applyBorder="1" applyAlignment="1">
      <alignment vertical="center"/>
    </xf>
    <xf numFmtId="10" fontId="4" fillId="0" borderId="1" xfId="3" applyNumberFormat="1" applyFont="1" applyBorder="1" applyAlignment="1">
      <alignment vertical="center"/>
    </xf>
    <xf numFmtId="0" fontId="2" fillId="0" borderId="1" xfId="0" applyFont="1" applyBorder="1" applyAlignment="1">
      <alignment vertical="center"/>
    </xf>
    <xf numFmtId="0" fontId="2" fillId="0" borderId="0" xfId="0" applyFont="1" applyAlignment="1">
      <alignment vertical="center"/>
    </xf>
    <xf numFmtId="9" fontId="4" fillId="0" borderId="1" xfId="3" applyFont="1" applyBorder="1" applyAlignment="1">
      <alignment vertical="center"/>
    </xf>
    <xf numFmtId="166" fontId="4" fillId="0" borderId="1" xfId="2" applyNumberFormat="1" applyFont="1" applyBorder="1" applyAlignment="1">
      <alignment vertical="center"/>
    </xf>
    <xf numFmtId="165" fontId="4" fillId="0" borderId="1" xfId="3" applyNumberFormat="1" applyFont="1" applyBorder="1" applyAlignment="1">
      <alignment vertical="center"/>
    </xf>
    <xf numFmtId="14" fontId="2" fillId="0" borderId="1" xfId="0" applyNumberFormat="1" applyFont="1" applyBorder="1" applyAlignment="1">
      <alignment vertical="center"/>
    </xf>
    <xf numFmtId="167" fontId="4" fillId="0" borderId="1" xfId="3" applyNumberFormat="1" applyFont="1" applyBorder="1" applyAlignment="1">
      <alignment vertical="center"/>
    </xf>
    <xf numFmtId="0" fontId="2" fillId="2" borderId="1" xfId="0" applyFont="1" applyFill="1" applyBorder="1" applyAlignment="1">
      <alignment horizontal="center" vertical="center"/>
    </xf>
    <xf numFmtId="0" fontId="8" fillId="0" borderId="0" xfId="0" applyFont="1" applyAlignment="1">
      <alignment vertical="center"/>
    </xf>
    <xf numFmtId="0" fontId="2" fillId="4" borderId="1" xfId="0" applyFont="1" applyFill="1" applyBorder="1" applyAlignment="1">
      <alignment horizontal="center" vertical="center"/>
    </xf>
    <xf numFmtId="166" fontId="4" fillId="0" borderId="1" xfId="0" applyNumberFormat="1" applyFont="1" applyBorder="1" applyAlignment="1">
      <alignment vertical="center"/>
    </xf>
    <xf numFmtId="0" fontId="1" fillId="0" borderId="1" xfId="0" applyFont="1" applyBorder="1" applyAlignment="1">
      <alignment vertical="center"/>
    </xf>
    <xf numFmtId="166" fontId="4" fillId="0" borderId="0" xfId="2" applyNumberFormat="1" applyFont="1" applyBorder="1" applyAlignment="1">
      <alignment vertical="center"/>
    </xf>
    <xf numFmtId="14" fontId="2" fillId="0" borderId="0" xfId="0" applyNumberFormat="1" applyFont="1" applyAlignment="1">
      <alignment vertical="center"/>
    </xf>
    <xf numFmtId="10" fontId="4" fillId="0" borderId="0" xfId="3" applyNumberFormat="1" applyFont="1" applyBorder="1" applyAlignment="1">
      <alignment vertical="center"/>
    </xf>
    <xf numFmtId="0" fontId="5" fillId="3" borderId="1" xfId="0" applyFont="1" applyFill="1" applyBorder="1" applyAlignment="1">
      <alignment vertical="center"/>
    </xf>
    <xf numFmtId="0" fontId="11" fillId="0" borderId="0" xfId="0" applyFont="1" applyAlignment="1">
      <alignment vertical="center"/>
    </xf>
    <xf numFmtId="0" fontId="5" fillId="5" borderId="1" xfId="0" applyFont="1" applyFill="1" applyBorder="1" applyAlignment="1">
      <alignment vertical="center"/>
    </xf>
    <xf numFmtId="0" fontId="6" fillId="3" borderId="2" xfId="1" applyFill="1" applyAlignment="1">
      <alignment horizontal="center" vertical="center"/>
    </xf>
    <xf numFmtId="0" fontId="5"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10" fillId="4"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4">
    <cellStyle name="Currency" xfId="2" builtinId="4"/>
    <cellStyle name="Heading 2" xfId="1" builtinId="17" customBuiltin="1"/>
    <cellStyle name="Normal" xfId="0" builtinId="0"/>
    <cellStyle name="Percent" xfId="3" builtinId="5"/>
  </cellStyles>
  <dxfs count="2">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D9D9FF"/>
      <color rgb="FFFFCCEC"/>
      <color rgb="FFECFFCC"/>
      <color rgb="FFE1F4FF"/>
      <color rgb="FF9999FF"/>
      <color rgb="FFC1C1FF"/>
      <color rgb="FFFFBA8F"/>
      <color rgb="FFFFDFCC"/>
      <color rgb="FF71B8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[Data-for-Practice.xlsx]shift wise report analysis!PivotTable1</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solidFill>
                  <a:schemeClr val="lt1"/>
                </a:solidFill>
                <a:latin typeface="+mn-lt"/>
                <a:ea typeface="+mn-ea"/>
                <a:cs typeface="+mn-cs"/>
              </a:rPr>
              <a:t>Shift</a:t>
            </a:r>
            <a:r>
              <a:rPr lang="en-IN" b="1" baseline="0">
                <a:solidFill>
                  <a:schemeClr val="lt1"/>
                </a:solidFill>
                <a:latin typeface="+mn-lt"/>
                <a:ea typeface="+mn-ea"/>
                <a:cs typeface="+mn-cs"/>
              </a:rPr>
              <a:t> wise Report Analysis</a:t>
            </a:r>
            <a:endParaRPr lang="en-IN" b="1"/>
          </a:p>
        </c:rich>
      </c:tx>
      <c:overlay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'shift wise report analysis'!$B$3</c:f>
              <c:strCache>
                <c:ptCount val="1"/>
                <c:pt idx="0">
                  <c:v>Count of Shift</c:v>
                </c:pt>
              </c:strCache>
            </c:strRef>
          </c:tx>
          <c:spPr>
            <a:solidFill>
              <a:schemeClr val="accent1"/>
            </a:solidFill>
            <a:ln>
              <a:noFill/>
            </a:ln>
            <a:effectLst/>
            <a:sp3d/>
          </c:spPr>
          <c:invertIfNegative val="0"/>
          <c:cat>
            <c:strRef>
              <c:f>'shift wise report analysis'!$A$4:$A$6</c:f>
              <c:strCache>
                <c:ptCount val="2"/>
                <c:pt idx="0">
                  <c:v>Ben</c:v>
                </c:pt>
                <c:pt idx="1">
                  <c:v>Jacob</c:v>
                </c:pt>
              </c:strCache>
            </c:strRef>
          </c:cat>
          <c:val>
            <c:numRef>
              <c:f>'shift wise report analysis'!$B$4:$B$6</c:f>
              <c:numCache>
                <c:formatCode>General</c:formatCode>
                <c:ptCount val="2"/>
                <c:pt idx="0">
                  <c:v>17</c:v>
                </c:pt>
                <c:pt idx="1">
                  <c:v>27</c:v>
                </c:pt>
              </c:numCache>
            </c:numRef>
          </c:val>
          <c:extLst>
            <c:ext xmlns:c16="http://schemas.microsoft.com/office/drawing/2014/chart" uri="{C3380CC4-5D6E-409C-BE32-E72D297353CC}">
              <c16:uniqueId val="{00000000-7EC5-46AF-9EFC-0D9180D5C410}"/>
            </c:ext>
          </c:extLst>
        </c:ser>
        <c:ser>
          <c:idx val="1"/>
          <c:order val="1"/>
          <c:tx>
            <c:strRef>
              <c:f>'shift wise report analysis'!$C$3</c:f>
              <c:strCache>
                <c:ptCount val="1"/>
                <c:pt idx="0">
                  <c:v>Sum of Cost Price</c:v>
                </c:pt>
              </c:strCache>
            </c:strRef>
          </c:tx>
          <c:spPr>
            <a:solidFill>
              <a:schemeClr val="accent2"/>
            </a:solidFill>
            <a:ln>
              <a:noFill/>
            </a:ln>
            <a:effectLst/>
            <a:sp3d/>
          </c:spPr>
          <c:invertIfNegative val="0"/>
          <c:cat>
            <c:strRef>
              <c:f>'shift wise report analysis'!$A$4:$A$6</c:f>
              <c:strCache>
                <c:ptCount val="2"/>
                <c:pt idx="0">
                  <c:v>Ben</c:v>
                </c:pt>
                <c:pt idx="1">
                  <c:v>Jacob</c:v>
                </c:pt>
              </c:strCache>
            </c:strRef>
          </c:cat>
          <c:val>
            <c:numRef>
              <c:f>'shift wise report analysis'!$C$4:$C$6</c:f>
              <c:numCache>
                <c:formatCode>General</c:formatCode>
                <c:ptCount val="2"/>
                <c:pt idx="0">
                  <c:v>20678.79</c:v>
                </c:pt>
                <c:pt idx="1">
                  <c:v>31814.22</c:v>
                </c:pt>
              </c:numCache>
            </c:numRef>
          </c:val>
          <c:extLst>
            <c:ext xmlns:c16="http://schemas.microsoft.com/office/drawing/2014/chart" uri="{C3380CC4-5D6E-409C-BE32-E72D297353CC}">
              <c16:uniqueId val="{00000003-7EC5-46AF-9EFC-0D9180D5C410}"/>
            </c:ext>
          </c:extLst>
        </c:ser>
        <c:ser>
          <c:idx val="2"/>
          <c:order val="2"/>
          <c:tx>
            <c:strRef>
              <c:f>'shift wise report analysis'!$D$3</c:f>
              <c:strCache>
                <c:ptCount val="1"/>
                <c:pt idx="0">
                  <c:v>Sum of Selling Price</c:v>
                </c:pt>
              </c:strCache>
            </c:strRef>
          </c:tx>
          <c:spPr>
            <a:solidFill>
              <a:schemeClr val="accent3"/>
            </a:solidFill>
            <a:ln>
              <a:noFill/>
            </a:ln>
            <a:effectLst/>
            <a:sp3d/>
          </c:spPr>
          <c:invertIfNegative val="0"/>
          <c:cat>
            <c:strRef>
              <c:f>'shift wise report analysis'!$A$4:$A$6</c:f>
              <c:strCache>
                <c:ptCount val="2"/>
                <c:pt idx="0">
                  <c:v>Ben</c:v>
                </c:pt>
                <c:pt idx="1">
                  <c:v>Jacob</c:v>
                </c:pt>
              </c:strCache>
            </c:strRef>
          </c:cat>
          <c:val>
            <c:numRef>
              <c:f>'shift wise report analysis'!$D$4:$D$6</c:f>
              <c:numCache>
                <c:formatCode>General</c:formatCode>
                <c:ptCount val="2"/>
                <c:pt idx="0">
                  <c:v>22652.75</c:v>
                </c:pt>
                <c:pt idx="1">
                  <c:v>35185.75</c:v>
                </c:pt>
              </c:numCache>
            </c:numRef>
          </c:val>
          <c:extLst>
            <c:ext xmlns:c16="http://schemas.microsoft.com/office/drawing/2014/chart" uri="{C3380CC4-5D6E-409C-BE32-E72D297353CC}">
              <c16:uniqueId val="{00000004-7EC5-46AF-9EFC-0D9180D5C410}"/>
            </c:ext>
          </c:extLst>
        </c:ser>
        <c:ser>
          <c:idx val="3"/>
          <c:order val="3"/>
          <c:tx>
            <c:strRef>
              <c:f>'shift wise report analysis'!$E$3</c:f>
              <c:strCache>
                <c:ptCount val="1"/>
                <c:pt idx="0">
                  <c:v>Sum of Profit %</c:v>
                </c:pt>
              </c:strCache>
            </c:strRef>
          </c:tx>
          <c:spPr>
            <a:solidFill>
              <a:schemeClr val="accent4"/>
            </a:solidFill>
            <a:ln>
              <a:noFill/>
            </a:ln>
            <a:effectLst/>
            <a:sp3d/>
          </c:spPr>
          <c:invertIfNegative val="0"/>
          <c:cat>
            <c:strRef>
              <c:f>'shift wise report analysis'!$A$4:$A$6</c:f>
              <c:strCache>
                <c:ptCount val="2"/>
                <c:pt idx="0">
                  <c:v>Ben</c:v>
                </c:pt>
                <c:pt idx="1">
                  <c:v>Jacob</c:v>
                </c:pt>
              </c:strCache>
            </c:strRef>
          </c:cat>
          <c:val>
            <c:numRef>
              <c:f>'shift wise report analysis'!$E$4:$E$6</c:f>
              <c:numCache>
                <c:formatCode>General</c:formatCode>
                <c:ptCount val="2"/>
                <c:pt idx="0">
                  <c:v>1.6274615219000508</c:v>
                </c:pt>
                <c:pt idx="1">
                  <c:v>3.0147093888998895</c:v>
                </c:pt>
              </c:numCache>
            </c:numRef>
          </c:val>
          <c:extLst>
            <c:ext xmlns:c16="http://schemas.microsoft.com/office/drawing/2014/chart" uri="{C3380CC4-5D6E-409C-BE32-E72D297353CC}">
              <c16:uniqueId val="{00000005-7EC5-46AF-9EFC-0D9180D5C410}"/>
            </c:ext>
          </c:extLst>
        </c:ser>
        <c:dLbls>
          <c:showLegendKey val="0"/>
          <c:showVal val="0"/>
          <c:showCatName val="0"/>
          <c:showSerName val="0"/>
          <c:showPercent val="0"/>
          <c:showBubbleSize val="0"/>
        </c:dLbls>
        <c:gapWidth val="150"/>
        <c:shape val="box"/>
        <c:axId val="2011488191"/>
        <c:axId val="89548015"/>
        <c:axId val="0"/>
      </c:bar3DChart>
      <c:catAx>
        <c:axId val="20114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8015"/>
        <c:crosses val="autoZero"/>
        <c:auto val="1"/>
        <c:lblAlgn val="ctr"/>
        <c:lblOffset val="100"/>
        <c:noMultiLvlLbl val="0"/>
      </c:catAx>
      <c:valAx>
        <c:axId val="8954801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4881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33251</xdr:colOff>
      <xdr:row>6</xdr:row>
      <xdr:rowOff>49876</xdr:rowOff>
    </xdr:from>
    <xdr:to>
      <xdr:col>8</xdr:col>
      <xdr:colOff>565265</xdr:colOff>
      <xdr:row>36</xdr:row>
      <xdr:rowOff>74814</xdr:rowOff>
    </xdr:to>
    <xdr:graphicFrame macro="">
      <xdr:nvGraphicFramePr>
        <xdr:cNvPr id="2" name="Chart 1">
          <a:extLst>
            <a:ext uri="{FF2B5EF4-FFF2-40B4-BE49-F238E27FC236}">
              <a16:creationId xmlns:a16="http://schemas.microsoft.com/office/drawing/2014/main" id="{89EBB106-2D5E-7DAD-3303-38EFF4DF6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166256</xdr:colOff>
      <xdr:row>25</xdr:row>
      <xdr:rowOff>182882</xdr:rowOff>
    </xdr:from>
    <xdr:to>
      <xdr:col>1</xdr:col>
      <xdr:colOff>299258</xdr:colOff>
      <xdr:row>30</xdr:row>
      <xdr:rowOff>74816</xdr:rowOff>
    </xdr:to>
    <mc:AlternateContent xmlns:mc="http://schemas.openxmlformats.org/markup-compatibility/2006">
      <mc:Choice xmlns:a14="http://schemas.microsoft.com/office/drawing/2010/main" Requires="a14">
        <xdr:graphicFrame macro="">
          <xdr:nvGraphicFramePr>
            <xdr:cNvPr id="4" name="Shift">
              <a:extLst>
                <a:ext uri="{FF2B5EF4-FFF2-40B4-BE49-F238E27FC236}">
                  <a16:creationId xmlns:a16="http://schemas.microsoft.com/office/drawing/2014/main" id="{B22269A6-4103-22BA-0942-08550E61BA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dr:sp macro="" textlink="">
          <xdr:nvSpPr>
            <xdr:cNvPr id="0" name=""/>
            <xdr:cNvSpPr>
              <a:spLocks noTextEdit="1"/>
            </xdr:cNvSpPr>
          </xdr:nvSpPr>
          <xdr:spPr>
            <a:xfrm>
              <a:off x="166256" y="4962700"/>
              <a:ext cx="1022464" cy="847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314327</xdr:colOff>
      <xdr:row>10</xdr:row>
      <xdr:rowOff>228600</xdr:rowOff>
    </xdr:from>
    <xdr:to>
      <xdr:col>19</xdr:col>
      <xdr:colOff>504826</xdr:colOff>
      <xdr:row>25</xdr:row>
      <xdr:rowOff>171450</xdr:rowOff>
    </xdr:to>
    <xdr:sp macro="" textlink="">
      <xdr:nvSpPr>
        <xdr:cNvPr id="2" name="Speech Bubble: Rectangle with Corners Rounded 1">
          <a:extLst>
            <a:ext uri="{FF2B5EF4-FFF2-40B4-BE49-F238E27FC236}">
              <a16:creationId xmlns:a16="http://schemas.microsoft.com/office/drawing/2014/main" id="{2F961AA6-92F6-4EE7-A9C5-C0D7826C6137}"/>
            </a:ext>
          </a:extLst>
        </xdr:cNvPr>
        <xdr:cNvSpPr/>
      </xdr:nvSpPr>
      <xdr:spPr>
        <a:xfrm>
          <a:off x="7753352" y="2705100"/>
          <a:ext cx="6200774" cy="3657600"/>
        </a:xfrm>
        <a:prstGeom prst="wedgeRoundRectCallout">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Task 01</a:t>
          </a:r>
          <a:endParaRPr lang="en-US" sz="1400">
            <a:solidFill>
              <a:sysClr val="windowText" lastClr="000000"/>
            </a:solidFill>
          </a:endParaRPr>
        </a:p>
        <a:p>
          <a:pPr algn="l"/>
          <a:r>
            <a:rPr lang="en-US" sz="1400">
              <a:solidFill>
                <a:sysClr val="windowText" lastClr="000000"/>
              </a:solidFill>
            </a:rPr>
            <a:t>Find the Profit Percentage for Each Sale.</a:t>
          </a:r>
        </a:p>
        <a:p>
          <a:pPr algn="l"/>
          <a:endParaRPr lang="en-US" sz="1400">
            <a:solidFill>
              <a:sysClr val="windowText" lastClr="000000"/>
            </a:solidFill>
          </a:endParaRPr>
        </a:p>
        <a:p>
          <a:pPr algn="l"/>
          <a:r>
            <a:rPr lang="en-US" sz="1400" b="1">
              <a:solidFill>
                <a:sysClr val="windowText" lastClr="000000"/>
              </a:solidFill>
            </a:rPr>
            <a:t>Task 02</a:t>
          </a:r>
          <a:endParaRPr lang="en-US" sz="1400">
            <a:solidFill>
              <a:sysClr val="windowText" lastClr="000000"/>
            </a:solidFill>
          </a:endParaRPr>
        </a:p>
        <a:p>
          <a:pPr algn="l"/>
          <a:r>
            <a:rPr lang="en-US" sz="1400">
              <a:solidFill>
                <a:sysClr val="windowText" lastClr="000000"/>
              </a:solidFill>
            </a:rPr>
            <a:t>Calculate Commission</a:t>
          </a:r>
          <a:r>
            <a:rPr lang="en-US" sz="1400" baseline="0">
              <a:solidFill>
                <a:sysClr val="windowText" lastClr="000000"/>
              </a:solidFill>
            </a:rPr>
            <a:t> for Sales</a:t>
          </a:r>
          <a:r>
            <a:rPr lang="en-US" sz="1400">
              <a:solidFill>
                <a:sysClr val="windowText" lastClr="000000"/>
              </a:solidFill>
            </a:rPr>
            <a:t>.</a:t>
          </a:r>
        </a:p>
        <a:p>
          <a:pPr algn="l"/>
          <a:endParaRPr lang="en-US" sz="1400">
            <a:solidFill>
              <a:sysClr val="windowText" lastClr="000000"/>
            </a:solidFill>
          </a:endParaRPr>
        </a:p>
        <a:p>
          <a:pPr algn="l"/>
          <a:r>
            <a:rPr lang="en-US" sz="1400" b="1">
              <a:solidFill>
                <a:sysClr val="windowText" lastClr="000000"/>
              </a:solidFill>
            </a:rPr>
            <a:t>Task</a:t>
          </a:r>
          <a:r>
            <a:rPr lang="en-US" sz="1400" b="1" baseline="0">
              <a:solidFill>
                <a:sysClr val="windowText" lastClr="000000"/>
              </a:solidFill>
            </a:rPr>
            <a:t> 03</a:t>
          </a:r>
          <a:endParaRPr lang="en-US" sz="1400" baseline="0">
            <a:solidFill>
              <a:sysClr val="windowText" lastClr="000000"/>
            </a:solidFill>
          </a:endParaRPr>
        </a:p>
        <a:p>
          <a:pPr algn="l"/>
          <a:r>
            <a:rPr lang="en-US" sz="1400" baseline="0">
              <a:solidFill>
                <a:sysClr val="windowText" lastClr="000000"/>
              </a:solidFill>
            </a:rPr>
            <a:t>Count the Number of Shifts for Each Employee.</a:t>
          </a:r>
        </a:p>
        <a:p>
          <a:pPr algn="l"/>
          <a:endParaRPr lang="en-US" sz="1400" baseline="0">
            <a:solidFill>
              <a:sysClr val="windowText" lastClr="000000"/>
            </a:solidFill>
          </a:endParaRPr>
        </a:p>
        <a:p>
          <a:pPr algn="l"/>
          <a:r>
            <a:rPr lang="en-US" sz="1400" b="1" baseline="0">
              <a:solidFill>
                <a:sysClr val="windowText" lastClr="000000"/>
              </a:solidFill>
            </a:rPr>
            <a:t>Task 04</a:t>
          </a:r>
        </a:p>
        <a:p>
          <a:pPr algn="l"/>
          <a:r>
            <a:rPr lang="en-US" sz="1400" baseline="0">
              <a:solidFill>
                <a:sysClr val="windowText" lastClr="000000"/>
              </a:solidFill>
            </a:rPr>
            <a:t>Determine Income for Both.</a:t>
          </a:r>
        </a:p>
        <a:p>
          <a:pPr algn="l"/>
          <a:endParaRPr lang="en-US" sz="1400" baseline="0">
            <a:solidFill>
              <a:sysClr val="windowText" lastClr="000000"/>
            </a:solidFill>
          </a:endParaRPr>
        </a:p>
        <a:p>
          <a:pPr algn="l"/>
          <a:r>
            <a:rPr lang="en-US" sz="1400" b="1" baseline="0">
              <a:solidFill>
                <a:sysClr val="windowText" lastClr="000000"/>
              </a:solidFill>
            </a:rPr>
            <a:t>Task 05</a:t>
          </a:r>
          <a:endParaRPr lang="en-US" sz="1400" baseline="0">
            <a:solidFill>
              <a:sysClr val="windowText" lastClr="000000"/>
            </a:solidFill>
          </a:endParaRPr>
        </a:p>
        <a:p>
          <a:pPr algn="l"/>
          <a:r>
            <a:rPr lang="en-US" sz="1400" baseline="0">
              <a:solidFill>
                <a:sysClr val="windowText" lastClr="000000"/>
              </a:solidFill>
            </a:rPr>
            <a:t>On Average, Which Day of the Week is the Most Profitable for the Company?</a:t>
          </a:r>
          <a:endParaRPr lang="en-US" sz="1400">
            <a:solidFill>
              <a:sysClr val="windowText" lastClr="000000"/>
            </a:solidFill>
          </a:endParaRPr>
        </a:p>
      </xdr:txBody>
    </xdr:sp>
    <xdr:clientData/>
  </xdr:twoCellAnchor>
  <xdr:twoCellAnchor>
    <xdr:from>
      <xdr:col>10</xdr:col>
      <xdr:colOff>209550</xdr:colOff>
      <xdr:row>3</xdr:row>
      <xdr:rowOff>28575</xdr:rowOff>
    </xdr:from>
    <xdr:to>
      <xdr:col>23</xdr:col>
      <xdr:colOff>238125</xdr:colOff>
      <xdr:row>8</xdr:row>
      <xdr:rowOff>161925</xdr:rowOff>
    </xdr:to>
    <xdr:sp macro="" textlink="">
      <xdr:nvSpPr>
        <xdr:cNvPr id="3" name="Flowchart: Alternate Process 2">
          <a:extLst>
            <a:ext uri="{FF2B5EF4-FFF2-40B4-BE49-F238E27FC236}">
              <a16:creationId xmlns:a16="http://schemas.microsoft.com/office/drawing/2014/main" id="{12FE9C3D-1877-70B5-AA87-6AB185F106E2}"/>
            </a:ext>
          </a:extLst>
        </xdr:cNvPr>
        <xdr:cNvSpPr/>
      </xdr:nvSpPr>
      <xdr:spPr>
        <a:xfrm>
          <a:off x="7648575" y="771525"/>
          <a:ext cx="8477250" cy="1371600"/>
        </a:xfrm>
        <a:prstGeom prst="flowChartAlternateProcess">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n>
                <a:noFill/>
              </a:ln>
              <a:solidFill>
                <a:sysClr val="windowText" lastClr="000000"/>
              </a:solidFill>
            </a:rPr>
            <a:t>This</a:t>
          </a:r>
          <a:r>
            <a:rPr lang="en-US" sz="1400" baseline="0">
              <a:ln>
                <a:noFill/>
              </a:ln>
              <a:solidFill>
                <a:sysClr val="windowText" lastClr="000000"/>
              </a:solidFill>
            </a:rPr>
            <a:t> is a dataset about a small electronics retail company. There are two sales employees, working on separate shifts. The payment is shift wise. The night shift pays more. The cost price and selling price are the accumulation of all items sold on each shift per day.</a:t>
          </a:r>
        </a:p>
        <a:p>
          <a:pPr algn="l"/>
          <a:r>
            <a:rPr lang="en-US" sz="1400" baseline="0">
              <a:ln>
                <a:noFill/>
              </a:ln>
              <a:solidFill>
                <a:sysClr val="windowText" lastClr="000000"/>
              </a:solidFill>
            </a:rPr>
            <a:t>We have 5 tasks to solve. Additional data are provided in the "Reference Data" sheet.</a:t>
          </a:r>
        </a:p>
        <a:p>
          <a:pPr algn="l"/>
          <a:r>
            <a:rPr lang="en-US" sz="1400" baseline="0">
              <a:ln>
                <a:noFill/>
              </a:ln>
              <a:solidFill>
                <a:sysClr val="windowText" lastClr="000000"/>
              </a:solidFill>
            </a:rPr>
            <a:t>These are solved in the "Solution" sheet.</a:t>
          </a:r>
          <a:endParaRPr lang="en-US" sz="1400">
            <a:ln>
              <a:noFill/>
            </a:ln>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209552</xdr:colOff>
      <xdr:row>0</xdr:row>
      <xdr:rowOff>209550</xdr:rowOff>
    </xdr:from>
    <xdr:to>
      <xdr:col>19</xdr:col>
      <xdr:colOff>333375</xdr:colOff>
      <xdr:row>15</xdr:row>
      <xdr:rowOff>152400</xdr:rowOff>
    </xdr:to>
    <xdr:sp macro="" textlink="">
      <xdr:nvSpPr>
        <xdr:cNvPr id="2" name="Speech Bubble: Rectangle with Corners Rounded 1">
          <a:extLst>
            <a:ext uri="{FF2B5EF4-FFF2-40B4-BE49-F238E27FC236}">
              <a16:creationId xmlns:a16="http://schemas.microsoft.com/office/drawing/2014/main" id="{3D0368A8-A990-795B-34DA-31C36BCC128C}"/>
            </a:ext>
          </a:extLst>
        </xdr:cNvPr>
        <xdr:cNvSpPr/>
      </xdr:nvSpPr>
      <xdr:spPr>
        <a:xfrm>
          <a:off x="9839327" y="209550"/>
          <a:ext cx="6200773" cy="3657600"/>
        </a:xfrm>
        <a:prstGeom prst="wedgeRoundRectCallout">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Task 01</a:t>
          </a:r>
          <a:endParaRPr lang="en-US" sz="1400">
            <a:solidFill>
              <a:sysClr val="windowText" lastClr="000000"/>
            </a:solidFill>
          </a:endParaRPr>
        </a:p>
        <a:p>
          <a:pPr algn="l"/>
          <a:r>
            <a:rPr lang="en-US" sz="1400">
              <a:solidFill>
                <a:sysClr val="windowText" lastClr="000000"/>
              </a:solidFill>
            </a:rPr>
            <a:t>Find the Profit Percentage for Each Sale.</a:t>
          </a:r>
        </a:p>
        <a:p>
          <a:pPr algn="l"/>
          <a:endParaRPr lang="en-US" sz="1400">
            <a:solidFill>
              <a:sysClr val="windowText" lastClr="000000"/>
            </a:solidFill>
          </a:endParaRPr>
        </a:p>
        <a:p>
          <a:pPr algn="l"/>
          <a:r>
            <a:rPr lang="en-US" sz="1400" b="1">
              <a:solidFill>
                <a:sysClr val="windowText" lastClr="000000"/>
              </a:solidFill>
            </a:rPr>
            <a:t>Task 02</a:t>
          </a:r>
          <a:endParaRPr lang="en-US" sz="1400">
            <a:solidFill>
              <a:sysClr val="windowText" lastClr="000000"/>
            </a:solidFill>
          </a:endParaRPr>
        </a:p>
        <a:p>
          <a:pPr algn="l"/>
          <a:r>
            <a:rPr lang="en-US" sz="1400">
              <a:solidFill>
                <a:sysClr val="windowText" lastClr="000000"/>
              </a:solidFill>
            </a:rPr>
            <a:t>Calculate Commission</a:t>
          </a:r>
          <a:r>
            <a:rPr lang="en-US" sz="1400" baseline="0">
              <a:solidFill>
                <a:sysClr val="windowText" lastClr="000000"/>
              </a:solidFill>
            </a:rPr>
            <a:t> for Sales</a:t>
          </a:r>
          <a:r>
            <a:rPr lang="en-US" sz="1400">
              <a:solidFill>
                <a:sysClr val="windowText" lastClr="000000"/>
              </a:solidFill>
            </a:rPr>
            <a:t>.</a:t>
          </a:r>
        </a:p>
        <a:p>
          <a:pPr algn="l"/>
          <a:endParaRPr lang="en-US" sz="1400">
            <a:solidFill>
              <a:sysClr val="windowText" lastClr="000000"/>
            </a:solidFill>
          </a:endParaRPr>
        </a:p>
        <a:p>
          <a:pPr algn="l"/>
          <a:r>
            <a:rPr lang="en-US" sz="1400" b="1">
              <a:solidFill>
                <a:sysClr val="windowText" lastClr="000000"/>
              </a:solidFill>
            </a:rPr>
            <a:t>Task</a:t>
          </a:r>
          <a:r>
            <a:rPr lang="en-US" sz="1400" b="1" baseline="0">
              <a:solidFill>
                <a:sysClr val="windowText" lastClr="000000"/>
              </a:solidFill>
            </a:rPr>
            <a:t> 03</a:t>
          </a:r>
          <a:endParaRPr lang="en-US" sz="1400" baseline="0">
            <a:solidFill>
              <a:sysClr val="windowText" lastClr="000000"/>
            </a:solidFill>
          </a:endParaRPr>
        </a:p>
        <a:p>
          <a:pPr algn="l"/>
          <a:r>
            <a:rPr lang="en-US" sz="1400" baseline="0">
              <a:solidFill>
                <a:sysClr val="windowText" lastClr="000000"/>
              </a:solidFill>
            </a:rPr>
            <a:t>Count the Number of Shifts for Each Employee.</a:t>
          </a:r>
        </a:p>
        <a:p>
          <a:pPr algn="l"/>
          <a:endParaRPr lang="en-US" sz="1400" baseline="0">
            <a:solidFill>
              <a:sysClr val="windowText" lastClr="000000"/>
            </a:solidFill>
          </a:endParaRPr>
        </a:p>
        <a:p>
          <a:pPr algn="l"/>
          <a:r>
            <a:rPr lang="en-US" sz="1400" b="1" baseline="0">
              <a:solidFill>
                <a:sysClr val="windowText" lastClr="000000"/>
              </a:solidFill>
            </a:rPr>
            <a:t>Task 04</a:t>
          </a:r>
        </a:p>
        <a:p>
          <a:pPr algn="l"/>
          <a:r>
            <a:rPr lang="en-US" sz="1400" baseline="0">
              <a:solidFill>
                <a:sysClr val="windowText" lastClr="000000"/>
              </a:solidFill>
            </a:rPr>
            <a:t>Determine Income for Both.</a:t>
          </a:r>
        </a:p>
        <a:p>
          <a:pPr algn="l"/>
          <a:endParaRPr lang="en-US" sz="1400" baseline="0">
            <a:solidFill>
              <a:sysClr val="windowText" lastClr="000000"/>
            </a:solidFill>
          </a:endParaRPr>
        </a:p>
        <a:p>
          <a:pPr algn="l"/>
          <a:r>
            <a:rPr lang="en-US" sz="1400" b="1" baseline="0">
              <a:solidFill>
                <a:sysClr val="windowText" lastClr="000000"/>
              </a:solidFill>
            </a:rPr>
            <a:t>Task 05</a:t>
          </a:r>
          <a:endParaRPr lang="en-US" sz="1400" baseline="0">
            <a:solidFill>
              <a:sysClr val="windowText" lastClr="000000"/>
            </a:solidFill>
          </a:endParaRPr>
        </a:p>
        <a:p>
          <a:pPr algn="l"/>
          <a:r>
            <a:rPr lang="en-US" sz="1400" baseline="0">
              <a:solidFill>
                <a:sysClr val="windowText" lastClr="000000"/>
              </a:solidFill>
            </a:rPr>
            <a:t>On Average, Which Day of the Week is the Most Profitable for the Company?</a:t>
          </a:r>
          <a:endParaRPr lang="en-US" sz="14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48.265480787035" createdVersion="8" refreshedVersion="8" minRefreshableVersion="3" recordCount="88" xr:uid="{3232A77D-9821-481E-B82B-F7A819ED3A2E}">
  <cacheSource type="worksheet">
    <worksheetSource ref="B4:J92" sheet="Problem"/>
  </cacheSource>
  <cacheFields count="9">
    <cacheField name="Date" numFmtId="14">
      <sharedItems containsSemiMixedTypes="0" containsNonDate="0" containsDate="1" containsString="0" minDate="2022-07-01T00:00:00" maxDate="2022-09-01T00:00:00"/>
    </cacheField>
    <cacheField name="Sales Rep" numFmtId="0">
      <sharedItems count="2">
        <s v="Ben"/>
        <s v="Jacob"/>
      </sharedItems>
    </cacheField>
    <cacheField name="Shift" numFmtId="0">
      <sharedItems count="2">
        <s v="Night"/>
        <s v="Day"/>
      </sharedItems>
    </cacheField>
    <cacheField name="Cost Price" numFmtId="165">
      <sharedItems containsSemiMixedTypes="0" containsString="0" containsNumber="1" minValue="714.58" maxValue="1594.15"/>
    </cacheField>
    <cacheField name="Selling Price" numFmtId="165">
      <sharedItems containsSemiMixedTypes="0" containsString="0" containsNumber="1" minValue="800.5" maxValue="1742.25"/>
    </cacheField>
    <cacheField name="Profit" numFmtId="165">
      <sharedItems containsSemiMixedTypes="0" containsString="0" containsNumber="1" minValue="51.910000000000082" maxValue="198.99"/>
    </cacheField>
    <cacheField name="Profit %" numFmtId="10">
      <sharedItems containsSemiMixedTypes="0" containsString="0" containsNumber="1" minValue="3.7676660943072218E-2" maxValue="0.2383731416351034"/>
    </cacheField>
    <cacheField name="Commission" numFmtId="10">
      <sharedItems containsNonDate="0" containsString="0" containsBlank="1"/>
    </cacheField>
    <cacheField name="Weekday" numFmtId="10">
      <sharedItems containsNonDate="0" containsString="0" containsBlank="1"/>
    </cacheField>
  </cacheFields>
  <extLst>
    <ext xmlns:x14="http://schemas.microsoft.com/office/spreadsheetml/2009/9/main" uri="{725AE2AE-9491-48be-B2B4-4EB974FC3084}">
      <x14:pivotCacheDefinition pivotCacheId="1436658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d v="2022-07-01T00:00:00"/>
    <x v="0"/>
    <x v="0"/>
    <n v="1112.94"/>
    <n v="1288"/>
    <n v="175.05999999999995"/>
    <n v="0.15729509227811017"/>
    <m/>
    <m/>
  </r>
  <r>
    <d v="2022-07-01T00:00:00"/>
    <x v="1"/>
    <x v="1"/>
    <n v="1095.5"/>
    <n v="1250.75"/>
    <n v="155.25"/>
    <n v="0.14171611136467366"/>
    <m/>
    <m/>
  </r>
  <r>
    <d v="2022-07-04T00:00:00"/>
    <x v="0"/>
    <x v="0"/>
    <n v="1120.94"/>
    <n v="1295"/>
    <n v="174.05999999999995"/>
    <n v="0.15528038967295299"/>
    <m/>
    <m/>
  </r>
  <r>
    <d v="2022-07-04T00:00:00"/>
    <x v="1"/>
    <x v="1"/>
    <n v="1509.73"/>
    <n v="1687.75"/>
    <n v="178.01999999999998"/>
    <n v="0.11791512389632582"/>
    <m/>
    <m/>
  </r>
  <r>
    <d v="2022-07-05T00:00:00"/>
    <x v="0"/>
    <x v="1"/>
    <n v="1235.33"/>
    <n v="1412.25"/>
    <n v="176.92000000000007"/>
    <n v="0.14321679227412926"/>
    <m/>
    <m/>
  </r>
  <r>
    <d v="2022-07-05T00:00:00"/>
    <x v="1"/>
    <x v="0"/>
    <n v="881.93"/>
    <n v="962"/>
    <n v="80.07000000000005"/>
    <n v="9.0789518442506836E-2"/>
    <m/>
    <m/>
  </r>
  <r>
    <d v="2022-07-06T00:00:00"/>
    <x v="0"/>
    <x v="0"/>
    <n v="1075.7"/>
    <n v="1142.75"/>
    <n v="67.049999999999955"/>
    <n v="6.2331505066468298E-2"/>
    <m/>
    <m/>
  </r>
  <r>
    <d v="2022-07-06T00:00:00"/>
    <x v="1"/>
    <x v="1"/>
    <n v="714.58"/>
    <n v="800.5"/>
    <n v="85.919999999999959"/>
    <n v="0.12023846175375739"/>
    <m/>
    <m/>
  </r>
  <r>
    <d v="2022-07-07T00:00:00"/>
    <x v="0"/>
    <x v="1"/>
    <n v="1299.1099999999999"/>
    <n v="1360"/>
    <n v="60.8900000000001"/>
    <n v="4.6870549837966076E-2"/>
    <m/>
    <m/>
  </r>
  <r>
    <d v="2022-07-07T00:00:00"/>
    <x v="1"/>
    <x v="0"/>
    <n v="1087.48"/>
    <n v="1268.5"/>
    <n v="181.01999999999998"/>
    <n v="0.16645823371464299"/>
    <m/>
    <m/>
  </r>
  <r>
    <d v="2022-07-08T00:00:00"/>
    <x v="0"/>
    <x v="0"/>
    <n v="803.79"/>
    <n v="907.75"/>
    <n v="103.96000000000004"/>
    <n v="0.12933726470844381"/>
    <m/>
    <m/>
  </r>
  <r>
    <d v="2022-07-08T00:00:00"/>
    <x v="1"/>
    <x v="1"/>
    <n v="1113.73"/>
    <n v="1278.75"/>
    <n v="165.01999999999998"/>
    <n v="0.14816876621802411"/>
    <m/>
    <m/>
  </r>
  <r>
    <d v="2022-07-11T00:00:00"/>
    <x v="0"/>
    <x v="1"/>
    <n v="843.16"/>
    <n v="965.25"/>
    <n v="122.09000000000003"/>
    <n v="0.14480051235827132"/>
    <m/>
    <m/>
  </r>
  <r>
    <d v="2022-07-11T00:00:00"/>
    <x v="1"/>
    <x v="0"/>
    <n v="1552.52"/>
    <n v="1717.5"/>
    <n v="164.98000000000002"/>
    <n v="0.10626594182361582"/>
    <m/>
    <m/>
  </r>
  <r>
    <d v="2022-07-12T00:00:00"/>
    <x v="0"/>
    <x v="0"/>
    <n v="1382.27"/>
    <n v="1550.25"/>
    <n v="167.98000000000002"/>
    <n v="0.12152473829280822"/>
    <m/>
    <m/>
  </r>
  <r>
    <d v="2022-07-12T00:00:00"/>
    <x v="1"/>
    <x v="1"/>
    <n v="1515.76"/>
    <n v="1622.75"/>
    <n v="106.99000000000001"/>
    <n v="7.0585053042698062E-2"/>
    <m/>
    <m/>
  </r>
  <r>
    <d v="2022-07-13T00:00:00"/>
    <x v="0"/>
    <x v="1"/>
    <n v="1264.56"/>
    <n v="1328.5"/>
    <n v="63.940000000000055"/>
    <n v="5.056304169039038E-2"/>
    <m/>
    <m/>
  </r>
  <r>
    <d v="2022-07-13T00:00:00"/>
    <x v="1"/>
    <x v="0"/>
    <n v="1251.98"/>
    <n v="1402"/>
    <n v="150.01999999999998"/>
    <n v="0.11982619530663427"/>
    <m/>
    <m/>
  </r>
  <r>
    <d v="2022-07-14T00:00:00"/>
    <x v="0"/>
    <x v="0"/>
    <n v="986.11"/>
    <n v="1054"/>
    <n v="67.889999999999986"/>
    <n v="6.8846274756365913E-2"/>
    <m/>
    <m/>
  </r>
  <r>
    <d v="2022-07-14T00:00:00"/>
    <x v="1"/>
    <x v="1"/>
    <n v="1514.2"/>
    <n v="1571.25"/>
    <n v="57.049999999999955"/>
    <n v="3.7676660943072218E-2"/>
    <m/>
    <m/>
  </r>
  <r>
    <d v="2022-07-15T00:00:00"/>
    <x v="0"/>
    <x v="1"/>
    <n v="1318.85"/>
    <n v="1454.75"/>
    <n v="135.90000000000009"/>
    <n v="0.10304431891420564"/>
    <m/>
    <m/>
  </r>
  <r>
    <d v="2022-07-15T00:00:00"/>
    <x v="1"/>
    <x v="0"/>
    <n v="1495.11"/>
    <n v="1655"/>
    <n v="159.8900000000001"/>
    <n v="0.10694196413641813"/>
    <m/>
    <m/>
  </r>
  <r>
    <d v="2022-07-18T00:00:00"/>
    <x v="0"/>
    <x v="0"/>
    <n v="1187.7"/>
    <n v="1297.75"/>
    <n v="110.04999999999995"/>
    <n v="9.2658078639387007E-2"/>
    <m/>
    <m/>
  </r>
  <r>
    <d v="2022-07-18T00:00:00"/>
    <x v="1"/>
    <x v="1"/>
    <n v="1150.74"/>
    <n v="1225.75"/>
    <n v="75.009999999999991"/>
    <n v="6.518414237794809E-2"/>
    <m/>
    <m/>
  </r>
  <r>
    <d v="2022-07-19T00:00:00"/>
    <x v="0"/>
    <x v="1"/>
    <n v="1562.68"/>
    <n v="1736.75"/>
    <n v="174.06999999999994"/>
    <n v="0.11139196764532722"/>
    <m/>
    <m/>
  </r>
  <r>
    <d v="2022-07-19T00:00:00"/>
    <x v="1"/>
    <x v="0"/>
    <n v="1514.13"/>
    <n v="1620.25"/>
    <n v="106.11999999999989"/>
    <n v="7.0086452286131237E-2"/>
    <m/>
    <m/>
  </r>
  <r>
    <d v="2022-07-20T00:00:00"/>
    <x v="0"/>
    <x v="0"/>
    <n v="778.27"/>
    <n v="930.25"/>
    <n v="151.98000000000002"/>
    <n v="0.19527927325992267"/>
    <m/>
    <m/>
  </r>
  <r>
    <d v="2022-07-20T00:00:00"/>
    <x v="1"/>
    <x v="1"/>
    <n v="1270.6600000000001"/>
    <n v="1334.75"/>
    <n v="64.089999999999918"/>
    <n v="5.0438354870697047E-2"/>
    <m/>
    <m/>
  </r>
  <r>
    <d v="2022-07-21T00:00:00"/>
    <x v="0"/>
    <x v="1"/>
    <n v="766.72"/>
    <n v="841.75"/>
    <n v="75.029999999999973"/>
    <n v="9.7858409849749542E-2"/>
    <m/>
    <m/>
  </r>
  <r>
    <d v="2022-07-21T00:00:00"/>
    <x v="1"/>
    <x v="0"/>
    <n v="1041.1300000000001"/>
    <n v="1157.25"/>
    <n v="116.11999999999989"/>
    <n v="0.11153266162727025"/>
    <m/>
    <m/>
  </r>
  <r>
    <d v="2022-07-22T00:00:00"/>
    <x v="0"/>
    <x v="0"/>
    <n v="1218.08"/>
    <n v="1344"/>
    <n v="125.92000000000007"/>
    <n v="0.10337580454485755"/>
    <m/>
    <m/>
  </r>
  <r>
    <d v="2022-07-22T00:00:00"/>
    <x v="1"/>
    <x v="1"/>
    <n v="1016.36"/>
    <n v="1108.25"/>
    <n v="91.889999999999986"/>
    <n v="9.0410878035341799E-2"/>
    <m/>
    <m/>
  </r>
  <r>
    <d v="2022-07-25T00:00:00"/>
    <x v="0"/>
    <x v="1"/>
    <n v="1576.91"/>
    <n v="1683"/>
    <n v="106.08999999999992"/>
    <n v="6.7277143273870993E-2"/>
    <m/>
    <m/>
  </r>
  <r>
    <d v="2022-07-25T00:00:00"/>
    <x v="1"/>
    <x v="0"/>
    <n v="870.02"/>
    <n v="997"/>
    <n v="126.98000000000002"/>
    <n v="0.14595066780074023"/>
    <m/>
    <m/>
  </r>
  <r>
    <d v="2022-07-26T00:00:00"/>
    <x v="0"/>
    <x v="0"/>
    <n v="1145.26"/>
    <n v="1344.25"/>
    <n v="198.99"/>
    <n v="0.17375093865148525"/>
    <m/>
    <m/>
  </r>
  <r>
    <d v="2022-07-26T00:00:00"/>
    <x v="1"/>
    <x v="1"/>
    <n v="1313.05"/>
    <n v="1504"/>
    <n v="190.95000000000005"/>
    <n v="0.14542477438025975"/>
    <m/>
    <m/>
  </r>
  <r>
    <d v="2022-07-27T00:00:00"/>
    <x v="0"/>
    <x v="1"/>
    <n v="833.49"/>
    <n v="906.5"/>
    <n v="73.009999999999991"/>
    <n v="8.759553203997647E-2"/>
    <m/>
    <m/>
  </r>
  <r>
    <d v="2022-07-27T00:00:00"/>
    <x v="1"/>
    <x v="0"/>
    <n v="1578.85"/>
    <n v="1711.75"/>
    <n v="132.90000000000009"/>
    <n v="8.4175190803432942E-2"/>
    <m/>
    <m/>
  </r>
  <r>
    <d v="2022-07-28T00:00:00"/>
    <x v="0"/>
    <x v="0"/>
    <n v="1314.78"/>
    <n v="1371.75"/>
    <n v="56.970000000000027"/>
    <n v="4.3330443115958586E-2"/>
    <m/>
    <m/>
  </r>
  <r>
    <d v="2022-07-28T00:00:00"/>
    <x v="1"/>
    <x v="1"/>
    <n v="972.81"/>
    <n v="1139.75"/>
    <n v="166.94000000000005"/>
    <n v="0.1716059662215644"/>
    <m/>
    <m/>
  </r>
  <r>
    <d v="2022-07-29T00:00:00"/>
    <x v="0"/>
    <x v="1"/>
    <n v="1551.16"/>
    <n v="1721.25"/>
    <n v="170.08999999999992"/>
    <n v="0.10965342066582423"/>
    <m/>
    <m/>
  </r>
  <r>
    <d v="2022-07-29T00:00:00"/>
    <x v="1"/>
    <x v="0"/>
    <n v="1366.59"/>
    <n v="1418.5"/>
    <n v="51.910000000000082"/>
    <n v="3.7985057698358748E-2"/>
    <m/>
    <m/>
  </r>
  <r>
    <d v="2022-08-01T00:00:00"/>
    <x v="0"/>
    <x v="0"/>
    <n v="1466.66"/>
    <n v="1624.75"/>
    <n v="158.08999999999992"/>
    <n v="0.10778912631421046"/>
    <m/>
    <m/>
  </r>
  <r>
    <d v="2022-08-01T00:00:00"/>
    <x v="1"/>
    <x v="1"/>
    <n v="1594.15"/>
    <n v="1682.25"/>
    <n v="88.099999999999909"/>
    <n v="5.5264561051343919E-2"/>
    <m/>
    <m/>
  </r>
  <r>
    <d v="2022-08-02T00:00:00"/>
    <x v="0"/>
    <x v="0"/>
    <n v="1580.98"/>
    <n v="1679"/>
    <n v="98.019999999999982"/>
    <n v="6.1999519285506448E-2"/>
    <m/>
    <m/>
  </r>
  <r>
    <d v="2022-08-02T00:00:00"/>
    <x v="1"/>
    <x v="1"/>
    <n v="916.97"/>
    <n v="1025"/>
    <n v="108.02999999999997"/>
    <n v="0.11781192405422203"/>
    <m/>
    <m/>
  </r>
  <r>
    <d v="2022-08-03T00:00:00"/>
    <x v="0"/>
    <x v="0"/>
    <n v="726.12"/>
    <n v="838"/>
    <n v="111.88"/>
    <n v="0.1540792155566573"/>
    <m/>
    <m/>
  </r>
  <r>
    <d v="2022-08-03T00:00:00"/>
    <x v="1"/>
    <x v="1"/>
    <n v="1461.44"/>
    <n v="1599.5"/>
    <n v="138.05999999999995"/>
    <n v="9.4468469454784279E-2"/>
    <m/>
    <m/>
  </r>
  <r>
    <d v="2022-08-04T00:00:00"/>
    <x v="0"/>
    <x v="1"/>
    <n v="1176.26"/>
    <n v="1263.25"/>
    <n v="86.990000000000009"/>
    <n v="7.3954737898083767E-2"/>
    <m/>
    <m/>
  </r>
  <r>
    <d v="2022-08-04T00:00:00"/>
    <x v="1"/>
    <x v="0"/>
    <n v="825.12"/>
    <n v="1004"/>
    <n v="178.88"/>
    <n v="0.2167927089393058"/>
    <m/>
    <m/>
  </r>
  <r>
    <d v="2022-08-05T00:00:00"/>
    <x v="0"/>
    <x v="0"/>
    <n v="1034.97"/>
    <n v="1091"/>
    <n v="56.029999999999973"/>
    <n v="5.413683488410289E-2"/>
    <m/>
    <m/>
  </r>
  <r>
    <d v="2022-08-05T00:00:00"/>
    <x v="1"/>
    <x v="1"/>
    <n v="939.94"/>
    <n v="1045"/>
    <n v="105.05999999999995"/>
    <n v="0.11177309189948288"/>
    <m/>
    <m/>
  </r>
  <r>
    <d v="2022-08-08T00:00:00"/>
    <x v="0"/>
    <x v="1"/>
    <n v="1429.63"/>
    <n v="1570.75"/>
    <n v="141.11999999999989"/>
    <n v="9.8710855256255031E-2"/>
    <m/>
    <m/>
  </r>
  <r>
    <d v="2022-08-08T00:00:00"/>
    <x v="1"/>
    <x v="0"/>
    <n v="1009.06"/>
    <n v="1189"/>
    <n v="179.94000000000005"/>
    <n v="0.17832438110716911"/>
    <m/>
    <m/>
  </r>
  <r>
    <d v="2022-08-09T00:00:00"/>
    <x v="0"/>
    <x v="0"/>
    <n v="974.45"/>
    <n v="1152.5"/>
    <n v="178.04999999999995"/>
    <n v="0.18271845656524188"/>
    <m/>
    <m/>
  </r>
  <r>
    <d v="2022-08-09T00:00:00"/>
    <x v="1"/>
    <x v="1"/>
    <n v="1511.87"/>
    <n v="1688.75"/>
    <n v="176.88000000000011"/>
    <n v="0.11699418600805633"/>
    <m/>
    <m/>
  </r>
  <r>
    <d v="2022-08-10T00:00:00"/>
    <x v="0"/>
    <x v="0"/>
    <n v="1103.76"/>
    <n v="1256.75"/>
    <n v="152.99"/>
    <n v="0.13860803073131842"/>
    <m/>
    <m/>
  </r>
  <r>
    <d v="2022-08-10T00:00:00"/>
    <x v="1"/>
    <x v="1"/>
    <n v="809.07"/>
    <n v="930"/>
    <n v="120.92999999999995"/>
    <n v="0.149467907597612"/>
    <m/>
    <m/>
  </r>
  <r>
    <d v="2022-08-11T00:00:00"/>
    <x v="0"/>
    <x v="0"/>
    <n v="1438.4"/>
    <n v="1560.5"/>
    <n v="122.09999999999991"/>
    <n v="8.4885984427141195E-2"/>
    <m/>
    <m/>
  </r>
  <r>
    <d v="2022-08-11T00:00:00"/>
    <x v="1"/>
    <x v="1"/>
    <n v="1472.96"/>
    <n v="1637"/>
    <n v="164.03999999999996"/>
    <n v="0.11136758635672385"/>
    <m/>
    <m/>
  </r>
  <r>
    <d v="2022-08-12T00:00:00"/>
    <x v="0"/>
    <x v="1"/>
    <n v="1556.29"/>
    <n v="1742.25"/>
    <n v="185.96000000000004"/>
    <n v="0.11948929826703251"/>
    <m/>
    <m/>
  </r>
  <r>
    <d v="2022-08-12T00:00:00"/>
    <x v="1"/>
    <x v="0"/>
    <n v="960.13"/>
    <n v="1088.25"/>
    <n v="128.12"/>
    <n v="0.13344026329767844"/>
    <m/>
    <m/>
  </r>
  <r>
    <d v="2022-08-15T00:00:00"/>
    <x v="0"/>
    <x v="0"/>
    <n v="1520.43"/>
    <n v="1594.5"/>
    <n v="74.069999999999936"/>
    <n v="4.8716481521674744E-2"/>
    <m/>
    <m/>
  </r>
  <r>
    <d v="2022-08-15T00:00:00"/>
    <x v="1"/>
    <x v="1"/>
    <n v="1195.05"/>
    <n v="1263"/>
    <n v="67.950000000000045"/>
    <n v="5.6859545625706075E-2"/>
    <m/>
    <m/>
  </r>
  <r>
    <d v="2022-08-16T00:00:00"/>
    <x v="0"/>
    <x v="0"/>
    <n v="1357.83"/>
    <n v="1518.75"/>
    <n v="160.92000000000007"/>
    <n v="0.11851262676476443"/>
    <m/>
    <m/>
  </r>
  <r>
    <d v="2022-08-16T00:00:00"/>
    <x v="1"/>
    <x v="1"/>
    <n v="1440.38"/>
    <n v="1498.5"/>
    <n v="58.119999999999891"/>
    <n v="4.0350463072244748E-2"/>
    <m/>
    <m/>
  </r>
  <r>
    <d v="2022-08-17T00:00:00"/>
    <x v="0"/>
    <x v="0"/>
    <n v="801.34"/>
    <n v="913.25"/>
    <n v="111.90999999999997"/>
    <n v="0.13965358025307606"/>
    <m/>
    <m/>
  </r>
  <r>
    <d v="2022-08-17T00:00:00"/>
    <x v="1"/>
    <x v="1"/>
    <n v="1001.99"/>
    <n v="1097"/>
    <n v="95.009999999999991"/>
    <n v="9.4821305601852299E-2"/>
    <m/>
    <m/>
  </r>
  <r>
    <d v="2022-08-18T00:00:00"/>
    <x v="0"/>
    <x v="1"/>
    <n v="1121.8599999999999"/>
    <n v="1191.75"/>
    <n v="69.8900000000001"/>
    <n v="6.2298325994330939E-2"/>
    <m/>
    <m/>
  </r>
  <r>
    <d v="2022-08-18T00:00:00"/>
    <x v="1"/>
    <x v="0"/>
    <n v="776.22"/>
    <n v="961.25"/>
    <n v="185.02999999999997"/>
    <n v="0.2383731416351034"/>
    <m/>
    <m/>
  </r>
  <r>
    <d v="2022-08-19T00:00:00"/>
    <x v="0"/>
    <x v="0"/>
    <n v="779.66"/>
    <n v="900.75"/>
    <n v="121.09000000000003"/>
    <n v="0.15531128953646467"/>
    <m/>
    <m/>
  </r>
  <r>
    <d v="2022-08-19T00:00:00"/>
    <x v="1"/>
    <x v="1"/>
    <n v="850.14"/>
    <n v="932.25"/>
    <n v="82.110000000000014"/>
    <n v="9.6584092031900645E-2"/>
    <m/>
    <m/>
  </r>
  <r>
    <d v="2022-08-22T00:00:00"/>
    <x v="0"/>
    <x v="1"/>
    <n v="896.25"/>
    <n v="1008.25"/>
    <n v="112"/>
    <n v="0.12496513249651325"/>
    <m/>
    <m/>
  </r>
  <r>
    <d v="2022-08-22T00:00:00"/>
    <x v="1"/>
    <x v="0"/>
    <n v="1051"/>
    <n v="1133"/>
    <n v="82"/>
    <n v="7.8020932445290195E-2"/>
    <m/>
    <m/>
  </r>
  <r>
    <d v="2022-08-23T00:00:00"/>
    <x v="0"/>
    <x v="0"/>
    <n v="1385.5"/>
    <n v="1504.5"/>
    <n v="119"/>
    <n v="8.5889570552147243E-2"/>
    <m/>
    <m/>
  </r>
  <r>
    <d v="2022-08-23T00:00:00"/>
    <x v="1"/>
    <x v="1"/>
    <n v="1075.76"/>
    <n v="1262.75"/>
    <n v="186.99"/>
    <n v="0.17382129843087679"/>
    <m/>
    <m/>
  </r>
  <r>
    <d v="2022-08-24T00:00:00"/>
    <x v="0"/>
    <x v="1"/>
    <n v="896.05"/>
    <n v="957"/>
    <n v="60.950000000000045"/>
    <n v="6.8020757770213769E-2"/>
    <m/>
    <m/>
  </r>
  <r>
    <d v="2022-08-24T00:00:00"/>
    <x v="1"/>
    <x v="0"/>
    <n v="843.34"/>
    <n v="1039.25"/>
    <n v="195.90999999999997"/>
    <n v="0.23230251144259725"/>
    <m/>
    <m/>
  </r>
  <r>
    <d v="2022-08-25T00:00:00"/>
    <x v="0"/>
    <x v="0"/>
    <n v="1211.6600000000001"/>
    <n v="1325.75"/>
    <n v="114.08999999999992"/>
    <n v="9.4160077909644549E-2"/>
    <m/>
    <m/>
  </r>
  <r>
    <d v="2022-08-25T00:00:00"/>
    <x v="1"/>
    <x v="1"/>
    <n v="1357.2"/>
    <n v="1463.25"/>
    <n v="106.04999999999995"/>
    <n v="7.8138815207780696E-2"/>
    <m/>
    <m/>
  </r>
  <r>
    <d v="2022-08-26T00:00:00"/>
    <x v="0"/>
    <x v="0"/>
    <n v="940.87"/>
    <n v="1027.75"/>
    <n v="86.88"/>
    <n v="9.2340068234718922E-2"/>
    <m/>
    <m/>
  </r>
  <r>
    <d v="2022-08-26T00:00:00"/>
    <x v="1"/>
    <x v="1"/>
    <n v="1274.05"/>
    <n v="1455"/>
    <n v="180.95000000000005"/>
    <n v="0.14202739295946004"/>
    <m/>
    <m/>
  </r>
  <r>
    <d v="2022-08-29T00:00:00"/>
    <x v="0"/>
    <x v="0"/>
    <n v="1179.06"/>
    <n v="1376"/>
    <n v="196.94000000000005"/>
    <n v="0.16703136396790669"/>
    <m/>
    <m/>
  </r>
  <r>
    <d v="2022-08-29T00:00:00"/>
    <x v="1"/>
    <x v="1"/>
    <n v="774.2"/>
    <n v="946.25"/>
    <n v="172.04999999999995"/>
    <n v="0.22222939808834918"/>
    <m/>
    <m/>
  </r>
  <r>
    <d v="2022-08-30T00:00:00"/>
    <x v="0"/>
    <x v="1"/>
    <n v="1350.48"/>
    <n v="1509.5"/>
    <n v="159.01999999999998"/>
    <n v="0.11775072566791066"/>
    <m/>
    <m/>
  </r>
  <r>
    <d v="2022-08-30T00:00:00"/>
    <x v="1"/>
    <x v="0"/>
    <n v="1053.3699999999999"/>
    <n v="1136.25"/>
    <n v="82.880000000000109"/>
    <n v="7.8680805415001484E-2"/>
    <m/>
    <m/>
  </r>
  <r>
    <d v="2022-08-31T00:00:00"/>
    <x v="0"/>
    <x v="0"/>
    <n v="1161.92"/>
    <n v="1237"/>
    <n v="75.079999999999927"/>
    <n v="6.4617185348388811E-2"/>
    <m/>
    <m/>
  </r>
  <r>
    <d v="2022-08-31T00:00:00"/>
    <x v="1"/>
    <x v="1"/>
    <n v="951.93"/>
    <n v="1136"/>
    <n v="184.07000000000005"/>
    <n v="0.1933650583551312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B6931-3E0F-4A10-9609-8B68CF5F06B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6" firstHeaderRow="0" firstDataRow="1" firstDataCol="1"/>
  <pivotFields count="9">
    <pivotField numFmtId="14" showAll="0"/>
    <pivotField axis="axisRow" showAll="0">
      <items count="3">
        <item x="0"/>
        <item x="1"/>
        <item t="default"/>
      </items>
    </pivotField>
    <pivotField dataField="1" showAll="0">
      <items count="3">
        <item x="1"/>
        <item h="1" x="0"/>
        <item t="default"/>
      </items>
    </pivotField>
    <pivotField dataField="1" numFmtId="165" showAll="0"/>
    <pivotField dataField="1" numFmtId="165" showAll="0"/>
    <pivotField numFmtId="165" showAll="0"/>
    <pivotField dataField="1" numFmtId="10" showAll="0"/>
    <pivotField showAll="0"/>
    <pivotField showAll="0"/>
  </pivotFields>
  <rowFields count="1">
    <field x="1"/>
  </rowFields>
  <rowItems count="3">
    <i>
      <x/>
    </i>
    <i>
      <x v="1"/>
    </i>
    <i t="grand">
      <x/>
    </i>
  </rowItems>
  <colFields count="1">
    <field x="-2"/>
  </colFields>
  <colItems count="4">
    <i>
      <x/>
    </i>
    <i i="1">
      <x v="1"/>
    </i>
    <i i="2">
      <x v="2"/>
    </i>
    <i i="3">
      <x v="3"/>
    </i>
  </colItems>
  <dataFields count="4">
    <dataField name="Count of Shift" fld="2" subtotal="count" baseField="0" baseItem="0"/>
    <dataField name="Sum of Cost Price" fld="3" baseField="0" baseItem="0"/>
    <dataField name="Sum of Selling Price" fld="4" baseField="0" baseItem="0"/>
    <dataField name="Sum of Profit %" fld="6"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552E2978-8E92-4DE4-BEC2-6A9E27A1626D}" sourceName="Shift">
  <pivotTables>
    <pivotTable tabId="8" name="PivotTable1"/>
  </pivotTables>
  <data>
    <tabular pivotCacheId="1436658333">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4D7CAAE6-7565-467B-BC79-89AD8A8EC13B}" cache="Slicer_Shift" caption="Shift" lockedPosition="1" rowHeight="24072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9B6E-8937-496A-B8B7-08552D723731}">
  <dimension ref="A3:E6"/>
  <sheetViews>
    <sheetView tabSelected="1" workbookViewId="0">
      <selection activeCell="L25" sqref="L25"/>
    </sheetView>
  </sheetViews>
  <sheetFormatPr defaultRowHeight="15.05" x14ac:dyDescent="0.3"/>
  <cols>
    <col min="1" max="1" width="11.88671875" bestFit="1" customWidth="1"/>
    <col min="2" max="2" width="11.6640625" bestFit="1" customWidth="1"/>
    <col min="3" max="3" width="14.77734375" bestFit="1" customWidth="1"/>
    <col min="4" max="4" width="16.44140625" bestFit="1" customWidth="1"/>
    <col min="5" max="5" width="13.109375" bestFit="1" customWidth="1"/>
  </cols>
  <sheetData>
    <row r="3" spans="1:5" x14ac:dyDescent="0.3">
      <c r="A3" s="36" t="s">
        <v>37</v>
      </c>
      <c r="B3" t="s">
        <v>39</v>
      </c>
      <c r="C3" t="s">
        <v>42</v>
      </c>
      <c r="D3" t="s">
        <v>41</v>
      </c>
      <c r="E3" t="s">
        <v>40</v>
      </c>
    </row>
    <row r="4" spans="1:5" x14ac:dyDescent="0.3">
      <c r="A4" s="37" t="s">
        <v>6</v>
      </c>
      <c r="B4" s="38">
        <v>17</v>
      </c>
      <c r="C4" s="38">
        <v>20678.79</v>
      </c>
      <c r="D4" s="38">
        <v>22652.75</v>
      </c>
      <c r="E4" s="38">
        <v>1.6274615219000508</v>
      </c>
    </row>
    <row r="5" spans="1:5" x14ac:dyDescent="0.3">
      <c r="A5" s="37" t="s">
        <v>7</v>
      </c>
      <c r="B5" s="38">
        <v>27</v>
      </c>
      <c r="C5" s="38">
        <v>31814.22</v>
      </c>
      <c r="D5" s="38">
        <v>35185.75</v>
      </c>
      <c r="E5" s="38">
        <v>3.0147093888998895</v>
      </c>
    </row>
    <row r="6" spans="1:5" x14ac:dyDescent="0.3">
      <c r="A6" s="37" t="s">
        <v>38</v>
      </c>
      <c r="B6" s="38">
        <v>44</v>
      </c>
      <c r="C6" s="38">
        <v>52493.010000000009</v>
      </c>
      <c r="D6" s="38">
        <v>57838.5</v>
      </c>
      <c r="E6" s="38">
        <v>4.6421709107999414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71AE-9158-4387-BBD9-75000CB5B9D8}">
  <dimension ref="B2:K105"/>
  <sheetViews>
    <sheetView showGridLines="0" topLeftCell="B4" zoomScale="79" zoomScaleNormal="79" workbookViewId="0">
      <selection activeCell="D4" sqref="D4"/>
    </sheetView>
  </sheetViews>
  <sheetFormatPr defaultColWidth="9.109375" defaultRowHeight="20.149999999999999" customHeight="1" x14ac:dyDescent="0.3"/>
  <cols>
    <col min="1" max="1" width="3.6640625" style="1" customWidth="1"/>
    <col min="2" max="2" width="12.6640625" style="1" customWidth="1"/>
    <col min="3" max="3" width="12.5546875" style="1" customWidth="1"/>
    <col min="4" max="4" width="7.5546875" style="1" customWidth="1"/>
    <col min="5" max="5" width="13" style="1" customWidth="1"/>
    <col min="6" max="6" width="15" style="1" customWidth="1"/>
    <col min="7" max="7" width="8.44140625" style="1" bestFit="1" customWidth="1"/>
    <col min="8" max="8" width="10.5546875" style="1" customWidth="1"/>
    <col min="9" max="9" width="15.33203125" style="1" customWidth="1"/>
    <col min="10" max="10" width="13.109375" style="1" customWidth="1"/>
    <col min="11" max="14" width="9.109375" style="1"/>
    <col min="15" max="15" width="13.6640625" style="1" bestFit="1" customWidth="1"/>
    <col min="16" max="16" width="12.44140625" style="1" bestFit="1" customWidth="1"/>
    <col min="17" max="16384" width="9.109375" style="1"/>
  </cols>
  <sheetData>
    <row r="2" spans="2:11" ht="20.149999999999999" customHeight="1" thickBot="1" x14ac:dyDescent="0.35">
      <c r="B2" s="28" t="s">
        <v>0</v>
      </c>
      <c r="C2" s="28"/>
      <c r="D2" s="28"/>
      <c r="E2" s="28"/>
      <c r="F2" s="28"/>
      <c r="G2" s="28"/>
      <c r="H2" s="28"/>
      <c r="I2" s="28"/>
      <c r="J2" s="28"/>
    </row>
    <row r="3" spans="2:11" ht="20.149999999999999" customHeight="1" thickTop="1" x14ac:dyDescent="0.3"/>
    <row r="4" spans="2:11" ht="20.149999999999999" customHeight="1" x14ac:dyDescent="0.3">
      <c r="B4" s="4" t="s">
        <v>1</v>
      </c>
      <c r="C4" s="4" t="s">
        <v>2</v>
      </c>
      <c r="D4" s="4" t="s">
        <v>8</v>
      </c>
      <c r="E4" s="4" t="s">
        <v>3</v>
      </c>
      <c r="F4" s="4" t="s">
        <v>4</v>
      </c>
      <c r="G4" s="4" t="s">
        <v>5</v>
      </c>
      <c r="H4" s="4" t="s">
        <v>14</v>
      </c>
      <c r="I4" s="4" t="s">
        <v>11</v>
      </c>
      <c r="J4" s="4" t="s">
        <v>30</v>
      </c>
    </row>
    <row r="5" spans="2:11" ht="20.149999999999999" customHeight="1" x14ac:dyDescent="0.3">
      <c r="B5" s="5">
        <v>44743</v>
      </c>
      <c r="C5" s="6" t="s">
        <v>6</v>
      </c>
      <c r="D5" s="10" t="s">
        <v>10</v>
      </c>
      <c r="E5" s="7">
        <v>1112.94</v>
      </c>
      <c r="F5" s="8">
        <v>1288</v>
      </c>
      <c r="G5" s="14">
        <f>F5-E5</f>
        <v>175.05999999999995</v>
      </c>
      <c r="H5" s="9">
        <f>(G5)/E5</f>
        <v>0.15729509227811017</v>
      </c>
      <c r="I5" s="9"/>
      <c r="J5" s="9"/>
    </row>
    <row r="6" spans="2:11" ht="20.149999999999999" customHeight="1" x14ac:dyDescent="0.3">
      <c r="B6" s="5">
        <v>44743</v>
      </c>
      <c r="C6" s="21" t="s">
        <v>7</v>
      </c>
      <c r="D6" s="21" t="s">
        <v>9</v>
      </c>
      <c r="E6" s="7">
        <v>1095.5</v>
      </c>
      <c r="F6" s="8">
        <v>1250.75</v>
      </c>
      <c r="G6" s="14">
        <f t="shared" ref="G6:G69" si="0">F6-E6</f>
        <v>155.25</v>
      </c>
      <c r="H6" s="9">
        <f>(G6)/E6</f>
        <v>0.14171611136467366</v>
      </c>
      <c r="I6" s="9"/>
      <c r="J6" s="9"/>
      <c r="K6" s="2"/>
    </row>
    <row r="7" spans="2:11" ht="20.149999999999999" customHeight="1" x14ac:dyDescent="0.3">
      <c r="B7" s="5">
        <v>44746</v>
      </c>
      <c r="C7" s="6" t="s">
        <v>6</v>
      </c>
      <c r="D7" s="10" t="s">
        <v>10</v>
      </c>
      <c r="E7" s="7">
        <v>1120.94</v>
      </c>
      <c r="F7" s="8">
        <v>1295</v>
      </c>
      <c r="G7" s="14">
        <f t="shared" si="0"/>
        <v>174.05999999999995</v>
      </c>
      <c r="H7" s="9">
        <f t="shared" ref="H7:H70" si="1">(G7)/E7</f>
        <v>0.15528038967295299</v>
      </c>
      <c r="I7" s="9"/>
      <c r="J7" s="9"/>
      <c r="K7" s="2"/>
    </row>
    <row r="8" spans="2:11" ht="20.149999999999999" customHeight="1" x14ac:dyDescent="0.3">
      <c r="B8" s="5">
        <v>44746</v>
      </c>
      <c r="C8" s="6" t="s">
        <v>7</v>
      </c>
      <c r="D8" s="10" t="s">
        <v>9</v>
      </c>
      <c r="E8" s="7">
        <v>1509.73</v>
      </c>
      <c r="F8" s="8">
        <v>1687.75</v>
      </c>
      <c r="G8" s="14">
        <f t="shared" si="0"/>
        <v>178.01999999999998</v>
      </c>
      <c r="H8" s="9">
        <f t="shared" si="1"/>
        <v>0.11791512389632582</v>
      </c>
      <c r="I8" s="9"/>
      <c r="J8" s="9"/>
      <c r="K8" s="2"/>
    </row>
    <row r="9" spans="2:11" ht="20.149999999999999" customHeight="1" x14ac:dyDescent="0.3">
      <c r="B9" s="5">
        <v>44747</v>
      </c>
      <c r="C9" s="6" t="s">
        <v>6</v>
      </c>
      <c r="D9" s="10" t="s">
        <v>9</v>
      </c>
      <c r="E9" s="7">
        <v>1235.33</v>
      </c>
      <c r="F9" s="8">
        <v>1412.25</v>
      </c>
      <c r="G9" s="14">
        <f t="shared" si="0"/>
        <v>176.92000000000007</v>
      </c>
      <c r="H9" s="9">
        <f t="shared" si="1"/>
        <v>0.14321679227412926</v>
      </c>
      <c r="I9" s="9"/>
      <c r="J9" s="9"/>
      <c r="K9" s="2"/>
    </row>
    <row r="10" spans="2:11" ht="20.149999999999999" customHeight="1" x14ac:dyDescent="0.3">
      <c r="B10" s="5">
        <v>44747</v>
      </c>
      <c r="C10" s="6" t="s">
        <v>7</v>
      </c>
      <c r="D10" s="10" t="s">
        <v>10</v>
      </c>
      <c r="E10" s="7">
        <v>881.93</v>
      </c>
      <c r="F10" s="8">
        <v>962</v>
      </c>
      <c r="G10" s="14">
        <f t="shared" si="0"/>
        <v>80.07000000000005</v>
      </c>
      <c r="H10" s="9">
        <f t="shared" si="1"/>
        <v>9.0789518442506836E-2</v>
      </c>
      <c r="I10" s="9"/>
      <c r="J10" s="9"/>
      <c r="K10" s="2"/>
    </row>
    <row r="11" spans="2:11" ht="20.149999999999999" customHeight="1" x14ac:dyDescent="0.3">
      <c r="B11" s="5">
        <v>44748</v>
      </c>
      <c r="C11" s="6" t="s">
        <v>6</v>
      </c>
      <c r="D11" s="10" t="s">
        <v>10</v>
      </c>
      <c r="E11" s="7">
        <v>1075.7</v>
      </c>
      <c r="F11" s="8">
        <v>1142.75</v>
      </c>
      <c r="G11" s="14">
        <f t="shared" si="0"/>
        <v>67.049999999999955</v>
      </c>
      <c r="H11" s="9">
        <f t="shared" si="1"/>
        <v>6.2331505066468298E-2</v>
      </c>
      <c r="I11" s="9"/>
      <c r="J11" s="9"/>
      <c r="K11" s="2"/>
    </row>
    <row r="12" spans="2:11" ht="20.149999999999999" customHeight="1" x14ac:dyDescent="0.3">
      <c r="B12" s="5">
        <v>44748</v>
      </c>
      <c r="C12" s="6" t="s">
        <v>7</v>
      </c>
      <c r="D12" s="10" t="s">
        <v>9</v>
      </c>
      <c r="E12" s="7">
        <v>714.58</v>
      </c>
      <c r="F12" s="8">
        <v>800.5</v>
      </c>
      <c r="G12" s="14">
        <f t="shared" si="0"/>
        <v>85.919999999999959</v>
      </c>
      <c r="H12" s="9">
        <f t="shared" si="1"/>
        <v>0.12023846175375739</v>
      </c>
      <c r="I12" s="9"/>
      <c r="J12" s="9"/>
    </row>
    <row r="13" spans="2:11" ht="20.149999999999999" customHeight="1" x14ac:dyDescent="0.3">
      <c r="B13" s="5">
        <v>44749</v>
      </c>
      <c r="C13" s="6" t="s">
        <v>6</v>
      </c>
      <c r="D13" s="10" t="s">
        <v>9</v>
      </c>
      <c r="E13" s="7">
        <v>1299.1099999999999</v>
      </c>
      <c r="F13" s="8">
        <v>1360</v>
      </c>
      <c r="G13" s="14">
        <f t="shared" si="0"/>
        <v>60.8900000000001</v>
      </c>
      <c r="H13" s="9">
        <f t="shared" si="1"/>
        <v>4.6870549837966076E-2</v>
      </c>
      <c r="I13" s="9"/>
      <c r="J13" s="9"/>
    </row>
    <row r="14" spans="2:11" ht="20.149999999999999" customHeight="1" x14ac:dyDescent="0.3">
      <c r="B14" s="5">
        <v>44749</v>
      </c>
      <c r="C14" s="6" t="s">
        <v>7</v>
      </c>
      <c r="D14" s="10" t="s">
        <v>10</v>
      </c>
      <c r="E14" s="7">
        <v>1087.48</v>
      </c>
      <c r="F14" s="8">
        <v>1268.5</v>
      </c>
      <c r="G14" s="14">
        <f t="shared" si="0"/>
        <v>181.01999999999998</v>
      </c>
      <c r="H14" s="9">
        <f t="shared" si="1"/>
        <v>0.16645823371464299</v>
      </c>
      <c r="I14" s="9"/>
      <c r="J14" s="9"/>
    </row>
    <row r="15" spans="2:11" ht="20.149999999999999" customHeight="1" x14ac:dyDescent="0.3">
      <c r="B15" s="5">
        <v>44750</v>
      </c>
      <c r="C15" s="6" t="s">
        <v>6</v>
      </c>
      <c r="D15" s="10" t="s">
        <v>10</v>
      </c>
      <c r="E15" s="7">
        <v>803.79</v>
      </c>
      <c r="F15" s="8">
        <v>907.75</v>
      </c>
      <c r="G15" s="14">
        <f t="shared" si="0"/>
        <v>103.96000000000004</v>
      </c>
      <c r="H15" s="9">
        <f t="shared" si="1"/>
        <v>0.12933726470844381</v>
      </c>
      <c r="I15" s="9"/>
      <c r="J15" s="9"/>
    </row>
    <row r="16" spans="2:11" ht="20.149999999999999" customHeight="1" x14ac:dyDescent="0.3">
      <c r="B16" s="5">
        <v>44750</v>
      </c>
      <c r="C16" s="6" t="s">
        <v>7</v>
      </c>
      <c r="D16" s="10" t="s">
        <v>9</v>
      </c>
      <c r="E16" s="7">
        <v>1113.73</v>
      </c>
      <c r="F16" s="8">
        <v>1278.75</v>
      </c>
      <c r="G16" s="14">
        <f t="shared" si="0"/>
        <v>165.01999999999998</v>
      </c>
      <c r="H16" s="9">
        <f t="shared" si="1"/>
        <v>0.14816876621802411</v>
      </c>
      <c r="I16" s="9"/>
      <c r="J16" s="9"/>
    </row>
    <row r="17" spans="2:10" ht="20.149999999999999" customHeight="1" x14ac:dyDescent="0.3">
      <c r="B17" s="5">
        <v>44753</v>
      </c>
      <c r="C17" s="6" t="s">
        <v>6</v>
      </c>
      <c r="D17" s="10" t="s">
        <v>9</v>
      </c>
      <c r="E17" s="7">
        <v>843.16</v>
      </c>
      <c r="F17" s="8">
        <v>965.25</v>
      </c>
      <c r="G17" s="14">
        <f t="shared" si="0"/>
        <v>122.09000000000003</v>
      </c>
      <c r="H17" s="9">
        <f t="shared" si="1"/>
        <v>0.14480051235827132</v>
      </c>
      <c r="I17" s="9"/>
      <c r="J17" s="9"/>
    </row>
    <row r="18" spans="2:10" ht="20.149999999999999" customHeight="1" x14ac:dyDescent="0.3">
      <c r="B18" s="5">
        <v>44753</v>
      </c>
      <c r="C18" s="6" t="s">
        <v>7</v>
      </c>
      <c r="D18" s="10" t="s">
        <v>10</v>
      </c>
      <c r="E18" s="7">
        <v>1552.52</v>
      </c>
      <c r="F18" s="8">
        <v>1717.5</v>
      </c>
      <c r="G18" s="14">
        <f t="shared" si="0"/>
        <v>164.98000000000002</v>
      </c>
      <c r="H18" s="9">
        <f t="shared" si="1"/>
        <v>0.10626594182361582</v>
      </c>
      <c r="I18" s="9"/>
      <c r="J18" s="9"/>
    </row>
    <row r="19" spans="2:10" ht="20.149999999999999" customHeight="1" x14ac:dyDescent="0.3">
      <c r="B19" s="5">
        <v>44754</v>
      </c>
      <c r="C19" s="6" t="s">
        <v>6</v>
      </c>
      <c r="D19" s="10" t="s">
        <v>10</v>
      </c>
      <c r="E19" s="7">
        <v>1382.27</v>
      </c>
      <c r="F19" s="8">
        <v>1550.25</v>
      </c>
      <c r="G19" s="14">
        <f t="shared" si="0"/>
        <v>167.98000000000002</v>
      </c>
      <c r="H19" s="9">
        <f t="shared" si="1"/>
        <v>0.12152473829280822</v>
      </c>
      <c r="I19" s="9"/>
      <c r="J19" s="9"/>
    </row>
    <row r="20" spans="2:10" ht="20.149999999999999" customHeight="1" x14ac:dyDescent="0.3">
      <c r="B20" s="5">
        <v>44754</v>
      </c>
      <c r="C20" s="6" t="s">
        <v>7</v>
      </c>
      <c r="D20" s="10" t="s">
        <v>9</v>
      </c>
      <c r="E20" s="7">
        <v>1515.76</v>
      </c>
      <c r="F20" s="8">
        <v>1622.75</v>
      </c>
      <c r="G20" s="14">
        <f t="shared" si="0"/>
        <v>106.99000000000001</v>
      </c>
      <c r="H20" s="9">
        <f t="shared" si="1"/>
        <v>7.0585053042698062E-2</v>
      </c>
      <c r="I20" s="9"/>
      <c r="J20" s="9"/>
    </row>
    <row r="21" spans="2:10" ht="20.149999999999999" customHeight="1" x14ac:dyDescent="0.3">
      <c r="B21" s="5">
        <v>44755</v>
      </c>
      <c r="C21" s="6" t="s">
        <v>6</v>
      </c>
      <c r="D21" s="10" t="s">
        <v>9</v>
      </c>
      <c r="E21" s="7">
        <v>1264.56</v>
      </c>
      <c r="F21" s="8">
        <v>1328.5</v>
      </c>
      <c r="G21" s="14">
        <f t="shared" si="0"/>
        <v>63.940000000000055</v>
      </c>
      <c r="H21" s="9">
        <f t="shared" si="1"/>
        <v>5.056304169039038E-2</v>
      </c>
      <c r="I21" s="9"/>
      <c r="J21" s="9"/>
    </row>
    <row r="22" spans="2:10" ht="20.149999999999999" customHeight="1" x14ac:dyDescent="0.3">
      <c r="B22" s="5">
        <v>44755</v>
      </c>
      <c r="C22" s="6" t="s">
        <v>7</v>
      </c>
      <c r="D22" s="10" t="s">
        <v>10</v>
      </c>
      <c r="E22" s="7">
        <v>1251.98</v>
      </c>
      <c r="F22" s="8">
        <v>1402</v>
      </c>
      <c r="G22" s="14">
        <f t="shared" si="0"/>
        <v>150.01999999999998</v>
      </c>
      <c r="H22" s="9">
        <f t="shared" si="1"/>
        <v>0.11982619530663427</v>
      </c>
      <c r="I22" s="9"/>
      <c r="J22" s="9"/>
    </row>
    <row r="23" spans="2:10" ht="20.149999999999999" customHeight="1" x14ac:dyDescent="0.3">
      <c r="B23" s="5">
        <v>44756</v>
      </c>
      <c r="C23" s="6" t="s">
        <v>6</v>
      </c>
      <c r="D23" s="10" t="s">
        <v>10</v>
      </c>
      <c r="E23" s="7">
        <v>986.11</v>
      </c>
      <c r="F23" s="8">
        <v>1054</v>
      </c>
      <c r="G23" s="14">
        <f t="shared" si="0"/>
        <v>67.889999999999986</v>
      </c>
      <c r="H23" s="9">
        <f t="shared" si="1"/>
        <v>6.8846274756365913E-2</v>
      </c>
      <c r="I23" s="9"/>
      <c r="J23" s="9"/>
    </row>
    <row r="24" spans="2:10" ht="20.149999999999999" customHeight="1" x14ac:dyDescent="0.3">
      <c r="B24" s="5">
        <v>44756</v>
      </c>
      <c r="C24" s="6" t="s">
        <v>7</v>
      </c>
      <c r="D24" s="10" t="s">
        <v>9</v>
      </c>
      <c r="E24" s="7">
        <v>1514.2</v>
      </c>
      <c r="F24" s="8">
        <v>1571.25</v>
      </c>
      <c r="G24" s="14">
        <f t="shared" si="0"/>
        <v>57.049999999999955</v>
      </c>
      <c r="H24" s="9">
        <f t="shared" si="1"/>
        <v>3.7676660943072218E-2</v>
      </c>
      <c r="I24" s="9"/>
      <c r="J24" s="9"/>
    </row>
    <row r="25" spans="2:10" ht="20.149999999999999" customHeight="1" x14ac:dyDescent="0.3">
      <c r="B25" s="5">
        <v>44757</v>
      </c>
      <c r="C25" s="6" t="s">
        <v>6</v>
      </c>
      <c r="D25" s="10" t="s">
        <v>9</v>
      </c>
      <c r="E25" s="7">
        <v>1318.85</v>
      </c>
      <c r="F25" s="8">
        <v>1454.75</v>
      </c>
      <c r="G25" s="14">
        <f t="shared" si="0"/>
        <v>135.90000000000009</v>
      </c>
      <c r="H25" s="9">
        <f t="shared" si="1"/>
        <v>0.10304431891420564</v>
      </c>
      <c r="I25" s="9"/>
      <c r="J25" s="9"/>
    </row>
    <row r="26" spans="2:10" ht="20.149999999999999" customHeight="1" x14ac:dyDescent="0.3">
      <c r="B26" s="5">
        <v>44757</v>
      </c>
      <c r="C26" s="6" t="s">
        <v>7</v>
      </c>
      <c r="D26" s="10" t="s">
        <v>10</v>
      </c>
      <c r="E26" s="7">
        <v>1495.11</v>
      </c>
      <c r="F26" s="8">
        <v>1655</v>
      </c>
      <c r="G26" s="14">
        <f t="shared" si="0"/>
        <v>159.8900000000001</v>
      </c>
      <c r="H26" s="9">
        <f t="shared" si="1"/>
        <v>0.10694196413641813</v>
      </c>
      <c r="I26" s="9"/>
      <c r="J26" s="9"/>
    </row>
    <row r="27" spans="2:10" ht="20.149999999999999" customHeight="1" x14ac:dyDescent="0.3">
      <c r="B27" s="5">
        <v>44760</v>
      </c>
      <c r="C27" s="6" t="s">
        <v>6</v>
      </c>
      <c r="D27" s="10" t="s">
        <v>10</v>
      </c>
      <c r="E27" s="7">
        <v>1187.7</v>
      </c>
      <c r="F27" s="8">
        <v>1297.75</v>
      </c>
      <c r="G27" s="14">
        <f t="shared" si="0"/>
        <v>110.04999999999995</v>
      </c>
      <c r="H27" s="9">
        <f t="shared" si="1"/>
        <v>9.2658078639387007E-2</v>
      </c>
      <c r="I27" s="9"/>
      <c r="J27" s="9"/>
    </row>
    <row r="28" spans="2:10" ht="20.149999999999999" customHeight="1" x14ac:dyDescent="0.3">
      <c r="B28" s="5">
        <v>44760</v>
      </c>
      <c r="C28" s="6" t="s">
        <v>7</v>
      </c>
      <c r="D28" s="10" t="s">
        <v>9</v>
      </c>
      <c r="E28" s="7">
        <v>1150.74</v>
      </c>
      <c r="F28" s="8">
        <v>1225.75</v>
      </c>
      <c r="G28" s="14">
        <f t="shared" si="0"/>
        <v>75.009999999999991</v>
      </c>
      <c r="H28" s="9">
        <f t="shared" si="1"/>
        <v>6.518414237794809E-2</v>
      </c>
      <c r="I28" s="9"/>
      <c r="J28" s="9"/>
    </row>
    <row r="29" spans="2:10" ht="20.149999999999999" customHeight="1" x14ac:dyDescent="0.3">
      <c r="B29" s="5">
        <v>44761</v>
      </c>
      <c r="C29" s="6" t="s">
        <v>6</v>
      </c>
      <c r="D29" s="10" t="s">
        <v>9</v>
      </c>
      <c r="E29" s="7">
        <v>1562.68</v>
      </c>
      <c r="F29" s="8">
        <v>1736.75</v>
      </c>
      <c r="G29" s="14">
        <f t="shared" si="0"/>
        <v>174.06999999999994</v>
      </c>
      <c r="H29" s="9">
        <f t="shared" si="1"/>
        <v>0.11139196764532722</v>
      </c>
      <c r="I29" s="9"/>
      <c r="J29" s="9"/>
    </row>
    <row r="30" spans="2:10" ht="20.149999999999999" customHeight="1" x14ac:dyDescent="0.3">
      <c r="B30" s="5">
        <v>44761</v>
      </c>
      <c r="C30" s="6" t="s">
        <v>7</v>
      </c>
      <c r="D30" s="10" t="s">
        <v>10</v>
      </c>
      <c r="E30" s="7">
        <v>1514.13</v>
      </c>
      <c r="F30" s="8">
        <v>1620.25</v>
      </c>
      <c r="G30" s="14">
        <f t="shared" si="0"/>
        <v>106.11999999999989</v>
      </c>
      <c r="H30" s="9">
        <f t="shared" si="1"/>
        <v>7.0086452286131237E-2</v>
      </c>
      <c r="I30" s="9"/>
      <c r="J30" s="9"/>
    </row>
    <row r="31" spans="2:10" ht="20.149999999999999" customHeight="1" x14ac:dyDescent="0.3">
      <c r="B31" s="5">
        <v>44762</v>
      </c>
      <c r="C31" s="6" t="s">
        <v>6</v>
      </c>
      <c r="D31" s="10" t="s">
        <v>10</v>
      </c>
      <c r="E31" s="7">
        <v>778.27</v>
      </c>
      <c r="F31" s="8">
        <v>930.25</v>
      </c>
      <c r="G31" s="14">
        <f t="shared" si="0"/>
        <v>151.98000000000002</v>
      </c>
      <c r="H31" s="9">
        <f t="shared" si="1"/>
        <v>0.19527927325992267</v>
      </c>
      <c r="I31" s="9"/>
      <c r="J31" s="9"/>
    </row>
    <row r="32" spans="2:10" ht="20.149999999999999" customHeight="1" x14ac:dyDescent="0.3">
      <c r="B32" s="5">
        <v>44762</v>
      </c>
      <c r="C32" s="6" t="s">
        <v>7</v>
      </c>
      <c r="D32" s="10" t="s">
        <v>9</v>
      </c>
      <c r="E32" s="7">
        <v>1270.6600000000001</v>
      </c>
      <c r="F32" s="8">
        <v>1334.75</v>
      </c>
      <c r="G32" s="14">
        <f t="shared" si="0"/>
        <v>64.089999999999918</v>
      </c>
      <c r="H32" s="9">
        <f t="shared" si="1"/>
        <v>5.0438354870697047E-2</v>
      </c>
      <c r="I32" s="9"/>
      <c r="J32" s="9"/>
    </row>
    <row r="33" spans="2:10" ht="20.149999999999999" customHeight="1" x14ac:dyDescent="0.3">
      <c r="B33" s="5">
        <v>44763</v>
      </c>
      <c r="C33" s="6" t="s">
        <v>6</v>
      </c>
      <c r="D33" s="10" t="s">
        <v>9</v>
      </c>
      <c r="E33" s="7">
        <v>766.72</v>
      </c>
      <c r="F33" s="8">
        <v>841.75</v>
      </c>
      <c r="G33" s="14">
        <f t="shared" si="0"/>
        <v>75.029999999999973</v>
      </c>
      <c r="H33" s="9">
        <f t="shared" si="1"/>
        <v>9.7858409849749542E-2</v>
      </c>
      <c r="I33" s="9"/>
      <c r="J33" s="9"/>
    </row>
    <row r="34" spans="2:10" ht="20.149999999999999" customHeight="1" x14ac:dyDescent="0.3">
      <c r="B34" s="5">
        <v>44763</v>
      </c>
      <c r="C34" s="6" t="s">
        <v>7</v>
      </c>
      <c r="D34" s="10" t="s">
        <v>10</v>
      </c>
      <c r="E34" s="7">
        <v>1041.1300000000001</v>
      </c>
      <c r="F34" s="8">
        <v>1157.25</v>
      </c>
      <c r="G34" s="14">
        <f t="shared" si="0"/>
        <v>116.11999999999989</v>
      </c>
      <c r="H34" s="9">
        <f t="shared" si="1"/>
        <v>0.11153266162727025</v>
      </c>
      <c r="I34" s="9"/>
      <c r="J34" s="9"/>
    </row>
    <row r="35" spans="2:10" ht="20.149999999999999" customHeight="1" x14ac:dyDescent="0.3">
      <c r="B35" s="5">
        <v>44764</v>
      </c>
      <c r="C35" s="6" t="s">
        <v>6</v>
      </c>
      <c r="D35" s="10" t="s">
        <v>10</v>
      </c>
      <c r="E35" s="7">
        <v>1218.08</v>
      </c>
      <c r="F35" s="8">
        <v>1344</v>
      </c>
      <c r="G35" s="14">
        <f t="shared" si="0"/>
        <v>125.92000000000007</v>
      </c>
      <c r="H35" s="9">
        <f t="shared" si="1"/>
        <v>0.10337580454485755</v>
      </c>
      <c r="I35" s="9"/>
      <c r="J35" s="9"/>
    </row>
    <row r="36" spans="2:10" ht="20.149999999999999" customHeight="1" x14ac:dyDescent="0.3">
      <c r="B36" s="5">
        <v>44764</v>
      </c>
      <c r="C36" s="6" t="s">
        <v>7</v>
      </c>
      <c r="D36" s="10" t="s">
        <v>9</v>
      </c>
      <c r="E36" s="7">
        <v>1016.36</v>
      </c>
      <c r="F36" s="8">
        <v>1108.25</v>
      </c>
      <c r="G36" s="14">
        <f t="shared" si="0"/>
        <v>91.889999999999986</v>
      </c>
      <c r="H36" s="9">
        <f t="shared" si="1"/>
        <v>9.0410878035341799E-2</v>
      </c>
      <c r="I36" s="9"/>
      <c r="J36" s="9"/>
    </row>
    <row r="37" spans="2:10" ht="20.149999999999999" customHeight="1" x14ac:dyDescent="0.3">
      <c r="B37" s="5">
        <v>44767</v>
      </c>
      <c r="C37" s="6" t="s">
        <v>6</v>
      </c>
      <c r="D37" s="10" t="s">
        <v>9</v>
      </c>
      <c r="E37" s="7">
        <v>1576.91</v>
      </c>
      <c r="F37" s="8">
        <v>1683</v>
      </c>
      <c r="G37" s="14">
        <f t="shared" si="0"/>
        <v>106.08999999999992</v>
      </c>
      <c r="H37" s="9">
        <f t="shared" si="1"/>
        <v>6.7277143273870993E-2</v>
      </c>
      <c r="I37" s="9"/>
      <c r="J37" s="9"/>
    </row>
    <row r="38" spans="2:10" ht="20.149999999999999" customHeight="1" x14ac:dyDescent="0.3">
      <c r="B38" s="5">
        <v>44767</v>
      </c>
      <c r="C38" s="6" t="s">
        <v>7</v>
      </c>
      <c r="D38" s="10" t="s">
        <v>10</v>
      </c>
      <c r="E38" s="7">
        <v>870.02</v>
      </c>
      <c r="F38" s="8">
        <v>997</v>
      </c>
      <c r="G38" s="14">
        <f t="shared" si="0"/>
        <v>126.98000000000002</v>
      </c>
      <c r="H38" s="9">
        <f t="shared" si="1"/>
        <v>0.14595066780074023</v>
      </c>
      <c r="I38" s="9"/>
      <c r="J38" s="9"/>
    </row>
    <row r="39" spans="2:10" ht="20.149999999999999" customHeight="1" x14ac:dyDescent="0.3">
      <c r="B39" s="5">
        <v>44768</v>
      </c>
      <c r="C39" s="6" t="s">
        <v>6</v>
      </c>
      <c r="D39" s="10" t="s">
        <v>10</v>
      </c>
      <c r="E39" s="7">
        <v>1145.26</v>
      </c>
      <c r="F39" s="8">
        <v>1344.25</v>
      </c>
      <c r="G39" s="14">
        <f t="shared" si="0"/>
        <v>198.99</v>
      </c>
      <c r="H39" s="9">
        <f t="shared" si="1"/>
        <v>0.17375093865148525</v>
      </c>
      <c r="I39" s="9"/>
      <c r="J39" s="9"/>
    </row>
    <row r="40" spans="2:10" ht="20.149999999999999" customHeight="1" x14ac:dyDescent="0.3">
      <c r="B40" s="5">
        <v>44768</v>
      </c>
      <c r="C40" s="6" t="s">
        <v>7</v>
      </c>
      <c r="D40" s="10" t="s">
        <v>9</v>
      </c>
      <c r="E40" s="7">
        <v>1313.05</v>
      </c>
      <c r="F40" s="8">
        <v>1504</v>
      </c>
      <c r="G40" s="14">
        <f t="shared" si="0"/>
        <v>190.95000000000005</v>
      </c>
      <c r="H40" s="9">
        <f t="shared" si="1"/>
        <v>0.14542477438025975</v>
      </c>
      <c r="I40" s="9"/>
      <c r="J40" s="9"/>
    </row>
    <row r="41" spans="2:10" ht="20.149999999999999" customHeight="1" x14ac:dyDescent="0.3">
      <c r="B41" s="5">
        <v>44769</v>
      </c>
      <c r="C41" s="6" t="s">
        <v>6</v>
      </c>
      <c r="D41" s="10" t="s">
        <v>9</v>
      </c>
      <c r="E41" s="7">
        <v>833.49</v>
      </c>
      <c r="F41" s="8">
        <v>906.5</v>
      </c>
      <c r="G41" s="14">
        <f t="shared" si="0"/>
        <v>73.009999999999991</v>
      </c>
      <c r="H41" s="9">
        <f t="shared" si="1"/>
        <v>8.759553203997647E-2</v>
      </c>
      <c r="I41" s="9"/>
      <c r="J41" s="9"/>
    </row>
    <row r="42" spans="2:10" ht="20.149999999999999" customHeight="1" x14ac:dyDescent="0.3">
      <c r="B42" s="5">
        <v>44769</v>
      </c>
      <c r="C42" s="6" t="s">
        <v>7</v>
      </c>
      <c r="D42" s="10" t="s">
        <v>10</v>
      </c>
      <c r="E42" s="7">
        <v>1578.85</v>
      </c>
      <c r="F42" s="8">
        <v>1711.75</v>
      </c>
      <c r="G42" s="14">
        <f t="shared" si="0"/>
        <v>132.90000000000009</v>
      </c>
      <c r="H42" s="9">
        <f t="shared" si="1"/>
        <v>8.4175190803432942E-2</v>
      </c>
      <c r="I42" s="9"/>
      <c r="J42" s="9"/>
    </row>
    <row r="43" spans="2:10" ht="20.149999999999999" customHeight="1" x14ac:dyDescent="0.3">
      <c r="B43" s="5">
        <v>44770</v>
      </c>
      <c r="C43" s="6" t="s">
        <v>6</v>
      </c>
      <c r="D43" s="10" t="s">
        <v>10</v>
      </c>
      <c r="E43" s="7">
        <v>1314.78</v>
      </c>
      <c r="F43" s="8">
        <v>1371.75</v>
      </c>
      <c r="G43" s="14">
        <f t="shared" si="0"/>
        <v>56.970000000000027</v>
      </c>
      <c r="H43" s="9">
        <f t="shared" si="1"/>
        <v>4.3330443115958586E-2</v>
      </c>
      <c r="I43" s="9"/>
      <c r="J43" s="9"/>
    </row>
    <row r="44" spans="2:10" ht="20.149999999999999" customHeight="1" x14ac:dyDescent="0.3">
      <c r="B44" s="5">
        <v>44770</v>
      </c>
      <c r="C44" s="6" t="s">
        <v>7</v>
      </c>
      <c r="D44" s="10" t="s">
        <v>9</v>
      </c>
      <c r="E44" s="7">
        <v>972.81</v>
      </c>
      <c r="F44" s="8">
        <v>1139.75</v>
      </c>
      <c r="G44" s="14">
        <f t="shared" si="0"/>
        <v>166.94000000000005</v>
      </c>
      <c r="H44" s="9">
        <f t="shared" si="1"/>
        <v>0.1716059662215644</v>
      </c>
      <c r="I44" s="9"/>
      <c r="J44" s="9"/>
    </row>
    <row r="45" spans="2:10" ht="20.149999999999999" customHeight="1" x14ac:dyDescent="0.3">
      <c r="B45" s="5">
        <v>44771</v>
      </c>
      <c r="C45" s="6" t="s">
        <v>6</v>
      </c>
      <c r="D45" s="10" t="s">
        <v>9</v>
      </c>
      <c r="E45" s="7">
        <v>1551.16</v>
      </c>
      <c r="F45" s="8">
        <v>1721.25</v>
      </c>
      <c r="G45" s="14">
        <f t="shared" si="0"/>
        <v>170.08999999999992</v>
      </c>
      <c r="H45" s="9">
        <f t="shared" si="1"/>
        <v>0.10965342066582423</v>
      </c>
      <c r="I45" s="9"/>
      <c r="J45" s="9"/>
    </row>
    <row r="46" spans="2:10" ht="20.149999999999999" customHeight="1" x14ac:dyDescent="0.3">
      <c r="B46" s="5">
        <v>44771</v>
      </c>
      <c r="C46" s="6" t="s">
        <v>7</v>
      </c>
      <c r="D46" s="10" t="s">
        <v>10</v>
      </c>
      <c r="E46" s="7">
        <v>1366.59</v>
      </c>
      <c r="F46" s="8">
        <v>1418.5</v>
      </c>
      <c r="G46" s="14">
        <f t="shared" si="0"/>
        <v>51.910000000000082</v>
      </c>
      <c r="H46" s="9">
        <f t="shared" si="1"/>
        <v>3.7985057698358748E-2</v>
      </c>
      <c r="I46" s="9"/>
      <c r="J46" s="9"/>
    </row>
    <row r="47" spans="2:10" ht="20.149999999999999" customHeight="1" x14ac:dyDescent="0.3">
      <c r="B47" s="5">
        <v>44774</v>
      </c>
      <c r="C47" s="6" t="s">
        <v>6</v>
      </c>
      <c r="D47" s="10" t="s">
        <v>10</v>
      </c>
      <c r="E47" s="7">
        <v>1466.66</v>
      </c>
      <c r="F47" s="8">
        <v>1624.75</v>
      </c>
      <c r="G47" s="14">
        <f t="shared" si="0"/>
        <v>158.08999999999992</v>
      </c>
      <c r="H47" s="9">
        <f t="shared" si="1"/>
        <v>0.10778912631421046</v>
      </c>
      <c r="I47" s="9"/>
      <c r="J47" s="9"/>
    </row>
    <row r="48" spans="2:10" ht="20.149999999999999" customHeight="1" x14ac:dyDescent="0.3">
      <c r="B48" s="5">
        <v>44774</v>
      </c>
      <c r="C48" s="6" t="s">
        <v>7</v>
      </c>
      <c r="D48" s="10" t="s">
        <v>9</v>
      </c>
      <c r="E48" s="7">
        <v>1594.15</v>
      </c>
      <c r="F48" s="8">
        <v>1682.25</v>
      </c>
      <c r="G48" s="14">
        <f t="shared" si="0"/>
        <v>88.099999999999909</v>
      </c>
      <c r="H48" s="9">
        <f t="shared" si="1"/>
        <v>5.5264561051343919E-2</v>
      </c>
      <c r="I48" s="9"/>
      <c r="J48" s="9"/>
    </row>
    <row r="49" spans="2:10" ht="20.149999999999999" customHeight="1" x14ac:dyDescent="0.3">
      <c r="B49" s="5">
        <v>44775</v>
      </c>
      <c r="C49" s="6" t="s">
        <v>6</v>
      </c>
      <c r="D49" s="10" t="s">
        <v>10</v>
      </c>
      <c r="E49" s="7">
        <v>1580.98</v>
      </c>
      <c r="F49" s="8">
        <v>1679</v>
      </c>
      <c r="G49" s="14">
        <f t="shared" si="0"/>
        <v>98.019999999999982</v>
      </c>
      <c r="H49" s="9">
        <f t="shared" si="1"/>
        <v>6.1999519285506448E-2</v>
      </c>
      <c r="I49" s="9"/>
      <c r="J49" s="9"/>
    </row>
    <row r="50" spans="2:10" ht="20.149999999999999" customHeight="1" x14ac:dyDescent="0.3">
      <c r="B50" s="5">
        <v>44775</v>
      </c>
      <c r="C50" s="6" t="s">
        <v>7</v>
      </c>
      <c r="D50" s="10" t="s">
        <v>9</v>
      </c>
      <c r="E50" s="7">
        <v>916.97</v>
      </c>
      <c r="F50" s="8">
        <v>1025</v>
      </c>
      <c r="G50" s="14">
        <f t="shared" si="0"/>
        <v>108.02999999999997</v>
      </c>
      <c r="H50" s="9">
        <f t="shared" si="1"/>
        <v>0.11781192405422203</v>
      </c>
      <c r="I50" s="9"/>
      <c r="J50" s="9"/>
    </row>
    <row r="51" spans="2:10" ht="20.149999999999999" customHeight="1" x14ac:dyDescent="0.3">
      <c r="B51" s="5">
        <v>44776</v>
      </c>
      <c r="C51" s="6" t="s">
        <v>6</v>
      </c>
      <c r="D51" s="10" t="s">
        <v>10</v>
      </c>
      <c r="E51" s="7">
        <v>726.12</v>
      </c>
      <c r="F51" s="8">
        <v>838</v>
      </c>
      <c r="G51" s="14">
        <f t="shared" si="0"/>
        <v>111.88</v>
      </c>
      <c r="H51" s="9">
        <f t="shared" si="1"/>
        <v>0.1540792155566573</v>
      </c>
      <c r="I51" s="9"/>
      <c r="J51" s="9"/>
    </row>
    <row r="52" spans="2:10" ht="20.149999999999999" customHeight="1" x14ac:dyDescent="0.3">
      <c r="B52" s="5">
        <v>44776</v>
      </c>
      <c r="C52" s="6" t="s">
        <v>7</v>
      </c>
      <c r="D52" s="10" t="s">
        <v>9</v>
      </c>
      <c r="E52" s="7">
        <v>1461.44</v>
      </c>
      <c r="F52" s="8">
        <v>1599.5</v>
      </c>
      <c r="G52" s="14">
        <f t="shared" si="0"/>
        <v>138.05999999999995</v>
      </c>
      <c r="H52" s="9">
        <f t="shared" si="1"/>
        <v>9.4468469454784279E-2</v>
      </c>
      <c r="I52" s="9"/>
      <c r="J52" s="9"/>
    </row>
    <row r="53" spans="2:10" ht="20.149999999999999" customHeight="1" x14ac:dyDescent="0.3">
      <c r="B53" s="5">
        <v>44777</v>
      </c>
      <c r="C53" s="6" t="s">
        <v>6</v>
      </c>
      <c r="D53" s="10" t="s">
        <v>9</v>
      </c>
      <c r="E53" s="7">
        <v>1176.26</v>
      </c>
      <c r="F53" s="8">
        <v>1263.25</v>
      </c>
      <c r="G53" s="14">
        <f t="shared" si="0"/>
        <v>86.990000000000009</v>
      </c>
      <c r="H53" s="9">
        <f t="shared" si="1"/>
        <v>7.3954737898083767E-2</v>
      </c>
      <c r="I53" s="9"/>
      <c r="J53" s="9"/>
    </row>
    <row r="54" spans="2:10" ht="20.149999999999999" customHeight="1" x14ac:dyDescent="0.3">
      <c r="B54" s="5">
        <v>44777</v>
      </c>
      <c r="C54" s="6" t="s">
        <v>7</v>
      </c>
      <c r="D54" s="10" t="s">
        <v>10</v>
      </c>
      <c r="E54" s="7">
        <v>825.12</v>
      </c>
      <c r="F54" s="8">
        <v>1004</v>
      </c>
      <c r="G54" s="14">
        <f t="shared" si="0"/>
        <v>178.88</v>
      </c>
      <c r="H54" s="9">
        <f t="shared" si="1"/>
        <v>0.2167927089393058</v>
      </c>
      <c r="I54" s="9"/>
      <c r="J54" s="9"/>
    </row>
    <row r="55" spans="2:10" ht="20.149999999999999" customHeight="1" x14ac:dyDescent="0.3">
      <c r="B55" s="5">
        <v>44778</v>
      </c>
      <c r="C55" s="6" t="s">
        <v>6</v>
      </c>
      <c r="D55" s="10" t="s">
        <v>10</v>
      </c>
      <c r="E55" s="7">
        <v>1034.97</v>
      </c>
      <c r="F55" s="8">
        <v>1091</v>
      </c>
      <c r="G55" s="14">
        <f t="shared" si="0"/>
        <v>56.029999999999973</v>
      </c>
      <c r="H55" s="9">
        <f t="shared" si="1"/>
        <v>5.413683488410289E-2</v>
      </c>
      <c r="I55" s="9"/>
      <c r="J55" s="9"/>
    </row>
    <row r="56" spans="2:10" ht="20.149999999999999" customHeight="1" x14ac:dyDescent="0.3">
      <c r="B56" s="5">
        <v>44778</v>
      </c>
      <c r="C56" s="6" t="s">
        <v>7</v>
      </c>
      <c r="D56" s="10" t="s">
        <v>9</v>
      </c>
      <c r="E56" s="7">
        <v>939.94</v>
      </c>
      <c r="F56" s="8">
        <v>1045</v>
      </c>
      <c r="G56" s="14">
        <f t="shared" si="0"/>
        <v>105.05999999999995</v>
      </c>
      <c r="H56" s="9">
        <f t="shared" si="1"/>
        <v>0.11177309189948288</v>
      </c>
      <c r="I56" s="9"/>
      <c r="J56" s="9"/>
    </row>
    <row r="57" spans="2:10" ht="20.149999999999999" customHeight="1" x14ac:dyDescent="0.3">
      <c r="B57" s="5">
        <v>44781</v>
      </c>
      <c r="C57" s="6" t="s">
        <v>6</v>
      </c>
      <c r="D57" s="10" t="s">
        <v>9</v>
      </c>
      <c r="E57" s="7">
        <v>1429.63</v>
      </c>
      <c r="F57" s="8">
        <v>1570.75</v>
      </c>
      <c r="G57" s="14">
        <f t="shared" si="0"/>
        <v>141.11999999999989</v>
      </c>
      <c r="H57" s="9">
        <f t="shared" si="1"/>
        <v>9.8710855256255031E-2</v>
      </c>
      <c r="I57" s="9"/>
      <c r="J57" s="9"/>
    </row>
    <row r="58" spans="2:10" ht="20.149999999999999" customHeight="1" x14ac:dyDescent="0.3">
      <c r="B58" s="5">
        <v>44781</v>
      </c>
      <c r="C58" s="6" t="s">
        <v>7</v>
      </c>
      <c r="D58" s="10" t="s">
        <v>10</v>
      </c>
      <c r="E58" s="7">
        <v>1009.06</v>
      </c>
      <c r="F58" s="8">
        <v>1189</v>
      </c>
      <c r="G58" s="14">
        <f t="shared" si="0"/>
        <v>179.94000000000005</v>
      </c>
      <c r="H58" s="9">
        <f t="shared" si="1"/>
        <v>0.17832438110716911</v>
      </c>
      <c r="I58" s="9"/>
      <c r="J58" s="9"/>
    </row>
    <row r="59" spans="2:10" ht="20.149999999999999" customHeight="1" x14ac:dyDescent="0.3">
      <c r="B59" s="5">
        <v>44782</v>
      </c>
      <c r="C59" s="6" t="s">
        <v>6</v>
      </c>
      <c r="D59" s="10" t="s">
        <v>10</v>
      </c>
      <c r="E59" s="7">
        <v>974.45</v>
      </c>
      <c r="F59" s="8">
        <v>1152.5</v>
      </c>
      <c r="G59" s="14">
        <f t="shared" si="0"/>
        <v>178.04999999999995</v>
      </c>
      <c r="H59" s="9">
        <f t="shared" si="1"/>
        <v>0.18271845656524188</v>
      </c>
      <c r="I59" s="9"/>
      <c r="J59" s="9"/>
    </row>
    <row r="60" spans="2:10" ht="20.149999999999999" customHeight="1" x14ac:dyDescent="0.3">
      <c r="B60" s="5">
        <v>44782</v>
      </c>
      <c r="C60" s="6" t="s">
        <v>7</v>
      </c>
      <c r="D60" s="10" t="s">
        <v>9</v>
      </c>
      <c r="E60" s="7">
        <v>1511.87</v>
      </c>
      <c r="F60" s="8">
        <v>1688.75</v>
      </c>
      <c r="G60" s="14">
        <f t="shared" si="0"/>
        <v>176.88000000000011</v>
      </c>
      <c r="H60" s="9">
        <f t="shared" si="1"/>
        <v>0.11699418600805633</v>
      </c>
      <c r="I60" s="9"/>
      <c r="J60" s="9"/>
    </row>
    <row r="61" spans="2:10" ht="20.149999999999999" customHeight="1" x14ac:dyDescent="0.3">
      <c r="B61" s="5">
        <v>44783</v>
      </c>
      <c r="C61" s="6" t="s">
        <v>6</v>
      </c>
      <c r="D61" s="10" t="s">
        <v>10</v>
      </c>
      <c r="E61" s="7">
        <v>1103.76</v>
      </c>
      <c r="F61" s="8">
        <v>1256.75</v>
      </c>
      <c r="G61" s="14">
        <f t="shared" si="0"/>
        <v>152.99</v>
      </c>
      <c r="H61" s="9">
        <f t="shared" si="1"/>
        <v>0.13860803073131842</v>
      </c>
      <c r="I61" s="9"/>
      <c r="J61" s="9"/>
    </row>
    <row r="62" spans="2:10" ht="20.149999999999999" customHeight="1" x14ac:dyDescent="0.3">
      <c r="B62" s="5">
        <v>44783</v>
      </c>
      <c r="C62" s="6" t="s">
        <v>7</v>
      </c>
      <c r="D62" s="10" t="s">
        <v>9</v>
      </c>
      <c r="E62" s="7">
        <v>809.07</v>
      </c>
      <c r="F62" s="8">
        <v>930</v>
      </c>
      <c r="G62" s="14">
        <f t="shared" si="0"/>
        <v>120.92999999999995</v>
      </c>
      <c r="H62" s="9">
        <f t="shared" si="1"/>
        <v>0.149467907597612</v>
      </c>
      <c r="I62" s="9"/>
      <c r="J62" s="9"/>
    </row>
    <row r="63" spans="2:10" ht="20.149999999999999" customHeight="1" x14ac:dyDescent="0.3">
      <c r="B63" s="5">
        <v>44784</v>
      </c>
      <c r="C63" s="6" t="s">
        <v>6</v>
      </c>
      <c r="D63" s="10" t="s">
        <v>10</v>
      </c>
      <c r="E63" s="7">
        <v>1438.4</v>
      </c>
      <c r="F63" s="8">
        <v>1560.5</v>
      </c>
      <c r="G63" s="14">
        <f t="shared" si="0"/>
        <v>122.09999999999991</v>
      </c>
      <c r="H63" s="9">
        <f t="shared" si="1"/>
        <v>8.4885984427141195E-2</v>
      </c>
      <c r="I63" s="9"/>
      <c r="J63" s="9"/>
    </row>
    <row r="64" spans="2:10" ht="20.149999999999999" customHeight="1" x14ac:dyDescent="0.3">
      <c r="B64" s="5">
        <v>44784</v>
      </c>
      <c r="C64" s="6" t="s">
        <v>7</v>
      </c>
      <c r="D64" s="10" t="s">
        <v>9</v>
      </c>
      <c r="E64" s="7">
        <v>1472.96</v>
      </c>
      <c r="F64" s="8">
        <v>1637</v>
      </c>
      <c r="G64" s="14">
        <f t="shared" si="0"/>
        <v>164.03999999999996</v>
      </c>
      <c r="H64" s="9">
        <f t="shared" si="1"/>
        <v>0.11136758635672385</v>
      </c>
      <c r="I64" s="9"/>
      <c r="J64" s="9"/>
    </row>
    <row r="65" spans="2:10" ht="20.149999999999999" customHeight="1" x14ac:dyDescent="0.3">
      <c r="B65" s="5">
        <v>44785</v>
      </c>
      <c r="C65" s="6" t="s">
        <v>6</v>
      </c>
      <c r="D65" s="10" t="s">
        <v>9</v>
      </c>
      <c r="E65" s="7">
        <v>1556.29</v>
      </c>
      <c r="F65" s="8">
        <v>1742.25</v>
      </c>
      <c r="G65" s="14">
        <f t="shared" si="0"/>
        <v>185.96000000000004</v>
      </c>
      <c r="H65" s="9">
        <f t="shared" si="1"/>
        <v>0.11948929826703251</v>
      </c>
      <c r="I65" s="9"/>
      <c r="J65" s="9"/>
    </row>
    <row r="66" spans="2:10" ht="20.149999999999999" customHeight="1" x14ac:dyDescent="0.3">
      <c r="B66" s="5">
        <v>44785</v>
      </c>
      <c r="C66" s="6" t="s">
        <v>7</v>
      </c>
      <c r="D66" s="10" t="s">
        <v>10</v>
      </c>
      <c r="E66" s="7">
        <v>960.13</v>
      </c>
      <c r="F66" s="8">
        <v>1088.25</v>
      </c>
      <c r="G66" s="14">
        <f t="shared" si="0"/>
        <v>128.12</v>
      </c>
      <c r="H66" s="9">
        <f t="shared" si="1"/>
        <v>0.13344026329767844</v>
      </c>
      <c r="I66" s="9"/>
      <c r="J66" s="9"/>
    </row>
    <row r="67" spans="2:10" ht="20.149999999999999" customHeight="1" x14ac:dyDescent="0.3">
      <c r="B67" s="5">
        <v>44788</v>
      </c>
      <c r="C67" s="6" t="s">
        <v>6</v>
      </c>
      <c r="D67" s="10" t="s">
        <v>10</v>
      </c>
      <c r="E67" s="7">
        <v>1520.43</v>
      </c>
      <c r="F67" s="8">
        <v>1594.5</v>
      </c>
      <c r="G67" s="14">
        <f t="shared" si="0"/>
        <v>74.069999999999936</v>
      </c>
      <c r="H67" s="9">
        <f t="shared" si="1"/>
        <v>4.8716481521674744E-2</v>
      </c>
      <c r="I67" s="9"/>
      <c r="J67" s="9"/>
    </row>
    <row r="68" spans="2:10" ht="20.149999999999999" customHeight="1" x14ac:dyDescent="0.3">
      <c r="B68" s="5">
        <v>44788</v>
      </c>
      <c r="C68" s="6" t="s">
        <v>7</v>
      </c>
      <c r="D68" s="10" t="s">
        <v>9</v>
      </c>
      <c r="E68" s="7">
        <v>1195.05</v>
      </c>
      <c r="F68" s="8">
        <v>1263</v>
      </c>
      <c r="G68" s="14">
        <f t="shared" si="0"/>
        <v>67.950000000000045</v>
      </c>
      <c r="H68" s="9">
        <f t="shared" si="1"/>
        <v>5.6859545625706075E-2</v>
      </c>
      <c r="I68" s="9"/>
      <c r="J68" s="9"/>
    </row>
    <row r="69" spans="2:10" ht="20.149999999999999" customHeight="1" x14ac:dyDescent="0.3">
      <c r="B69" s="5">
        <v>44789</v>
      </c>
      <c r="C69" s="6" t="s">
        <v>6</v>
      </c>
      <c r="D69" s="10" t="s">
        <v>10</v>
      </c>
      <c r="E69" s="7">
        <v>1357.83</v>
      </c>
      <c r="F69" s="8">
        <v>1518.75</v>
      </c>
      <c r="G69" s="14">
        <f t="shared" si="0"/>
        <v>160.92000000000007</v>
      </c>
      <c r="H69" s="9">
        <f t="shared" si="1"/>
        <v>0.11851262676476443</v>
      </c>
      <c r="I69" s="9"/>
      <c r="J69" s="9"/>
    </row>
    <row r="70" spans="2:10" ht="20.149999999999999" customHeight="1" x14ac:dyDescent="0.3">
      <c r="B70" s="5">
        <v>44789</v>
      </c>
      <c r="C70" s="6" t="s">
        <v>7</v>
      </c>
      <c r="D70" s="10" t="s">
        <v>9</v>
      </c>
      <c r="E70" s="7">
        <v>1440.38</v>
      </c>
      <c r="F70" s="8">
        <v>1498.5</v>
      </c>
      <c r="G70" s="14">
        <f t="shared" ref="G70:G92" si="2">F70-E70</f>
        <v>58.119999999999891</v>
      </c>
      <c r="H70" s="9">
        <f t="shared" si="1"/>
        <v>4.0350463072244748E-2</v>
      </c>
      <c r="I70" s="9"/>
      <c r="J70" s="9"/>
    </row>
    <row r="71" spans="2:10" ht="20.149999999999999" customHeight="1" x14ac:dyDescent="0.3">
      <c r="B71" s="5">
        <v>44790</v>
      </c>
      <c r="C71" s="6" t="s">
        <v>6</v>
      </c>
      <c r="D71" s="10" t="s">
        <v>10</v>
      </c>
      <c r="E71" s="7">
        <v>801.34</v>
      </c>
      <c r="F71" s="8">
        <v>913.25</v>
      </c>
      <c r="G71" s="14">
        <f t="shared" si="2"/>
        <v>111.90999999999997</v>
      </c>
      <c r="H71" s="9">
        <f t="shared" ref="H71:H92" si="3">(G71)/E71</f>
        <v>0.13965358025307606</v>
      </c>
      <c r="I71" s="9"/>
      <c r="J71" s="9"/>
    </row>
    <row r="72" spans="2:10" ht="20.149999999999999" customHeight="1" x14ac:dyDescent="0.3">
      <c r="B72" s="5">
        <v>44790</v>
      </c>
      <c r="C72" s="6" t="s">
        <v>7</v>
      </c>
      <c r="D72" s="10" t="s">
        <v>9</v>
      </c>
      <c r="E72" s="7">
        <v>1001.99</v>
      </c>
      <c r="F72" s="8">
        <v>1097</v>
      </c>
      <c r="G72" s="14">
        <f t="shared" si="2"/>
        <v>95.009999999999991</v>
      </c>
      <c r="H72" s="9">
        <f t="shared" si="3"/>
        <v>9.4821305601852299E-2</v>
      </c>
      <c r="I72" s="9"/>
      <c r="J72" s="9"/>
    </row>
    <row r="73" spans="2:10" ht="20.149999999999999" customHeight="1" x14ac:dyDescent="0.3">
      <c r="B73" s="5">
        <v>44791</v>
      </c>
      <c r="C73" s="6" t="s">
        <v>6</v>
      </c>
      <c r="D73" s="10" t="s">
        <v>9</v>
      </c>
      <c r="E73" s="7">
        <v>1121.8599999999999</v>
      </c>
      <c r="F73" s="8">
        <v>1191.75</v>
      </c>
      <c r="G73" s="14">
        <f t="shared" si="2"/>
        <v>69.8900000000001</v>
      </c>
      <c r="H73" s="9">
        <f t="shared" si="3"/>
        <v>6.2298325994330939E-2</v>
      </c>
      <c r="I73" s="9"/>
      <c r="J73" s="9"/>
    </row>
    <row r="74" spans="2:10" ht="20.149999999999999" customHeight="1" x14ac:dyDescent="0.3">
      <c r="B74" s="5">
        <v>44791</v>
      </c>
      <c r="C74" s="6" t="s">
        <v>7</v>
      </c>
      <c r="D74" s="10" t="s">
        <v>10</v>
      </c>
      <c r="E74" s="7">
        <v>776.22</v>
      </c>
      <c r="F74" s="8">
        <v>961.25</v>
      </c>
      <c r="G74" s="14">
        <f t="shared" si="2"/>
        <v>185.02999999999997</v>
      </c>
      <c r="H74" s="9">
        <f t="shared" si="3"/>
        <v>0.2383731416351034</v>
      </c>
      <c r="I74" s="9"/>
      <c r="J74" s="9"/>
    </row>
    <row r="75" spans="2:10" ht="20.149999999999999" customHeight="1" x14ac:dyDescent="0.3">
      <c r="B75" s="5">
        <v>44792</v>
      </c>
      <c r="C75" s="6" t="s">
        <v>6</v>
      </c>
      <c r="D75" s="10" t="s">
        <v>10</v>
      </c>
      <c r="E75" s="7">
        <v>779.66</v>
      </c>
      <c r="F75" s="8">
        <v>900.75</v>
      </c>
      <c r="G75" s="14">
        <f t="shared" si="2"/>
        <v>121.09000000000003</v>
      </c>
      <c r="H75" s="9">
        <f t="shared" si="3"/>
        <v>0.15531128953646467</v>
      </c>
      <c r="I75" s="9"/>
      <c r="J75" s="9"/>
    </row>
    <row r="76" spans="2:10" ht="20.149999999999999" customHeight="1" x14ac:dyDescent="0.3">
      <c r="B76" s="5">
        <v>44792</v>
      </c>
      <c r="C76" s="6" t="s">
        <v>7</v>
      </c>
      <c r="D76" s="10" t="s">
        <v>9</v>
      </c>
      <c r="E76" s="7">
        <v>850.14</v>
      </c>
      <c r="F76" s="8">
        <v>932.25</v>
      </c>
      <c r="G76" s="14">
        <f t="shared" si="2"/>
        <v>82.110000000000014</v>
      </c>
      <c r="H76" s="9">
        <f t="shared" si="3"/>
        <v>9.6584092031900645E-2</v>
      </c>
      <c r="I76" s="9"/>
      <c r="J76" s="9"/>
    </row>
    <row r="77" spans="2:10" ht="20.149999999999999" customHeight="1" x14ac:dyDescent="0.3">
      <c r="B77" s="5">
        <v>44795</v>
      </c>
      <c r="C77" s="6" t="s">
        <v>6</v>
      </c>
      <c r="D77" s="10" t="s">
        <v>9</v>
      </c>
      <c r="E77" s="7">
        <v>896.25</v>
      </c>
      <c r="F77" s="8">
        <v>1008.25</v>
      </c>
      <c r="G77" s="14">
        <f t="shared" si="2"/>
        <v>112</v>
      </c>
      <c r="H77" s="9">
        <f t="shared" si="3"/>
        <v>0.12496513249651325</v>
      </c>
      <c r="I77" s="9"/>
      <c r="J77" s="9"/>
    </row>
    <row r="78" spans="2:10" ht="20.149999999999999" customHeight="1" x14ac:dyDescent="0.3">
      <c r="B78" s="5">
        <v>44795</v>
      </c>
      <c r="C78" s="6" t="s">
        <v>7</v>
      </c>
      <c r="D78" s="10" t="s">
        <v>10</v>
      </c>
      <c r="E78" s="7">
        <v>1051</v>
      </c>
      <c r="F78" s="8">
        <v>1133</v>
      </c>
      <c r="G78" s="14">
        <f t="shared" si="2"/>
        <v>82</v>
      </c>
      <c r="H78" s="9">
        <f t="shared" si="3"/>
        <v>7.8020932445290195E-2</v>
      </c>
      <c r="I78" s="9"/>
      <c r="J78" s="9"/>
    </row>
    <row r="79" spans="2:10" ht="20.149999999999999" customHeight="1" x14ac:dyDescent="0.3">
      <c r="B79" s="5">
        <v>44796</v>
      </c>
      <c r="C79" s="6" t="s">
        <v>6</v>
      </c>
      <c r="D79" s="10" t="s">
        <v>10</v>
      </c>
      <c r="E79" s="7">
        <v>1385.5</v>
      </c>
      <c r="F79" s="8">
        <v>1504.5</v>
      </c>
      <c r="G79" s="14">
        <f t="shared" si="2"/>
        <v>119</v>
      </c>
      <c r="H79" s="9">
        <f t="shared" si="3"/>
        <v>8.5889570552147243E-2</v>
      </c>
      <c r="I79" s="9"/>
      <c r="J79" s="9"/>
    </row>
    <row r="80" spans="2:10" ht="20.149999999999999" customHeight="1" x14ac:dyDescent="0.3">
      <c r="B80" s="5">
        <v>44796</v>
      </c>
      <c r="C80" s="6" t="s">
        <v>7</v>
      </c>
      <c r="D80" s="10" t="s">
        <v>9</v>
      </c>
      <c r="E80" s="7">
        <v>1075.76</v>
      </c>
      <c r="F80" s="8">
        <v>1262.75</v>
      </c>
      <c r="G80" s="14">
        <f t="shared" si="2"/>
        <v>186.99</v>
      </c>
      <c r="H80" s="9">
        <f t="shared" si="3"/>
        <v>0.17382129843087679</v>
      </c>
      <c r="I80" s="9"/>
      <c r="J80" s="9"/>
    </row>
    <row r="81" spans="2:10" ht="20.149999999999999" customHeight="1" x14ac:dyDescent="0.3">
      <c r="B81" s="5">
        <v>44797</v>
      </c>
      <c r="C81" s="6" t="s">
        <v>6</v>
      </c>
      <c r="D81" s="10" t="s">
        <v>9</v>
      </c>
      <c r="E81" s="7">
        <v>896.05</v>
      </c>
      <c r="F81" s="8">
        <v>957</v>
      </c>
      <c r="G81" s="14">
        <f t="shared" si="2"/>
        <v>60.950000000000045</v>
      </c>
      <c r="H81" s="9">
        <f t="shared" si="3"/>
        <v>6.8020757770213769E-2</v>
      </c>
      <c r="I81" s="9"/>
      <c r="J81" s="9"/>
    </row>
    <row r="82" spans="2:10" ht="20.149999999999999" customHeight="1" x14ac:dyDescent="0.3">
      <c r="B82" s="5">
        <v>44797</v>
      </c>
      <c r="C82" s="6" t="s">
        <v>7</v>
      </c>
      <c r="D82" s="10" t="s">
        <v>10</v>
      </c>
      <c r="E82" s="7">
        <v>843.34</v>
      </c>
      <c r="F82" s="8">
        <v>1039.25</v>
      </c>
      <c r="G82" s="14">
        <f t="shared" si="2"/>
        <v>195.90999999999997</v>
      </c>
      <c r="H82" s="9">
        <f t="shared" si="3"/>
        <v>0.23230251144259725</v>
      </c>
      <c r="I82" s="9"/>
      <c r="J82" s="9"/>
    </row>
    <row r="83" spans="2:10" ht="20.149999999999999" customHeight="1" x14ac:dyDescent="0.3">
      <c r="B83" s="5">
        <v>44798</v>
      </c>
      <c r="C83" s="6" t="s">
        <v>6</v>
      </c>
      <c r="D83" s="10" t="s">
        <v>10</v>
      </c>
      <c r="E83" s="7">
        <v>1211.6600000000001</v>
      </c>
      <c r="F83" s="8">
        <v>1325.75</v>
      </c>
      <c r="G83" s="14">
        <f t="shared" si="2"/>
        <v>114.08999999999992</v>
      </c>
      <c r="H83" s="9">
        <f t="shared" si="3"/>
        <v>9.4160077909644549E-2</v>
      </c>
      <c r="I83" s="9"/>
      <c r="J83" s="9"/>
    </row>
    <row r="84" spans="2:10" ht="20.149999999999999" customHeight="1" x14ac:dyDescent="0.3">
      <c r="B84" s="5">
        <v>44798</v>
      </c>
      <c r="C84" s="6" t="s">
        <v>7</v>
      </c>
      <c r="D84" s="10" t="s">
        <v>9</v>
      </c>
      <c r="E84" s="7">
        <v>1357.2</v>
      </c>
      <c r="F84" s="8">
        <v>1463.25</v>
      </c>
      <c r="G84" s="14">
        <f t="shared" si="2"/>
        <v>106.04999999999995</v>
      </c>
      <c r="H84" s="9">
        <f t="shared" si="3"/>
        <v>7.8138815207780696E-2</v>
      </c>
      <c r="I84" s="9"/>
      <c r="J84" s="9"/>
    </row>
    <row r="85" spans="2:10" ht="20.149999999999999" customHeight="1" x14ac:dyDescent="0.3">
      <c r="B85" s="5">
        <v>44799</v>
      </c>
      <c r="C85" s="6" t="s">
        <v>6</v>
      </c>
      <c r="D85" s="10" t="s">
        <v>10</v>
      </c>
      <c r="E85" s="7">
        <v>940.87</v>
      </c>
      <c r="F85" s="8">
        <v>1027.75</v>
      </c>
      <c r="G85" s="14">
        <f t="shared" si="2"/>
        <v>86.88</v>
      </c>
      <c r="H85" s="9">
        <f t="shared" si="3"/>
        <v>9.2340068234718922E-2</v>
      </c>
      <c r="I85" s="9"/>
      <c r="J85" s="9"/>
    </row>
    <row r="86" spans="2:10" ht="20.149999999999999" customHeight="1" x14ac:dyDescent="0.3">
      <c r="B86" s="5">
        <v>44799</v>
      </c>
      <c r="C86" s="6" t="s">
        <v>7</v>
      </c>
      <c r="D86" s="10" t="s">
        <v>9</v>
      </c>
      <c r="E86" s="7">
        <v>1274.05</v>
      </c>
      <c r="F86" s="8">
        <v>1455</v>
      </c>
      <c r="G86" s="14">
        <f t="shared" si="2"/>
        <v>180.95000000000005</v>
      </c>
      <c r="H86" s="9">
        <f t="shared" si="3"/>
        <v>0.14202739295946004</v>
      </c>
      <c r="I86" s="9"/>
      <c r="J86" s="9"/>
    </row>
    <row r="87" spans="2:10" ht="20.149999999999999" customHeight="1" x14ac:dyDescent="0.3">
      <c r="B87" s="5">
        <v>44802</v>
      </c>
      <c r="C87" s="6" t="s">
        <v>6</v>
      </c>
      <c r="D87" s="10" t="s">
        <v>10</v>
      </c>
      <c r="E87" s="7">
        <v>1179.06</v>
      </c>
      <c r="F87" s="8">
        <v>1376</v>
      </c>
      <c r="G87" s="14">
        <f t="shared" si="2"/>
        <v>196.94000000000005</v>
      </c>
      <c r="H87" s="9">
        <f t="shared" si="3"/>
        <v>0.16703136396790669</v>
      </c>
      <c r="I87" s="9"/>
      <c r="J87" s="9"/>
    </row>
    <row r="88" spans="2:10" ht="20.149999999999999" customHeight="1" x14ac:dyDescent="0.3">
      <c r="B88" s="5">
        <v>44802</v>
      </c>
      <c r="C88" s="6" t="s">
        <v>7</v>
      </c>
      <c r="D88" s="10" t="s">
        <v>9</v>
      </c>
      <c r="E88" s="7">
        <v>774.2</v>
      </c>
      <c r="F88" s="8">
        <v>946.25</v>
      </c>
      <c r="G88" s="14">
        <f t="shared" si="2"/>
        <v>172.04999999999995</v>
      </c>
      <c r="H88" s="9">
        <f t="shared" si="3"/>
        <v>0.22222939808834918</v>
      </c>
      <c r="I88" s="9"/>
      <c r="J88" s="9"/>
    </row>
    <row r="89" spans="2:10" ht="20.149999999999999" customHeight="1" x14ac:dyDescent="0.3">
      <c r="B89" s="5">
        <v>44803</v>
      </c>
      <c r="C89" s="6" t="s">
        <v>6</v>
      </c>
      <c r="D89" s="10" t="s">
        <v>9</v>
      </c>
      <c r="E89" s="7">
        <v>1350.48</v>
      </c>
      <c r="F89" s="8">
        <v>1509.5</v>
      </c>
      <c r="G89" s="14">
        <f t="shared" si="2"/>
        <v>159.01999999999998</v>
      </c>
      <c r="H89" s="9">
        <f t="shared" si="3"/>
        <v>0.11775072566791066</v>
      </c>
      <c r="I89" s="9"/>
      <c r="J89" s="9"/>
    </row>
    <row r="90" spans="2:10" ht="20.149999999999999" customHeight="1" x14ac:dyDescent="0.3">
      <c r="B90" s="5">
        <v>44803</v>
      </c>
      <c r="C90" s="6" t="s">
        <v>7</v>
      </c>
      <c r="D90" s="10" t="s">
        <v>10</v>
      </c>
      <c r="E90" s="7">
        <v>1053.3699999999999</v>
      </c>
      <c r="F90" s="8">
        <v>1136.25</v>
      </c>
      <c r="G90" s="14">
        <f t="shared" si="2"/>
        <v>82.880000000000109</v>
      </c>
      <c r="H90" s="9">
        <f t="shared" si="3"/>
        <v>7.8680805415001484E-2</v>
      </c>
      <c r="I90" s="9"/>
      <c r="J90" s="9"/>
    </row>
    <row r="91" spans="2:10" ht="20.149999999999999" customHeight="1" x14ac:dyDescent="0.3">
      <c r="B91" s="5">
        <v>44804</v>
      </c>
      <c r="C91" s="6" t="s">
        <v>6</v>
      </c>
      <c r="D91" s="10" t="s">
        <v>10</v>
      </c>
      <c r="E91" s="7">
        <v>1161.92</v>
      </c>
      <c r="F91" s="8">
        <v>1237</v>
      </c>
      <c r="G91" s="14">
        <f t="shared" si="2"/>
        <v>75.079999999999927</v>
      </c>
      <c r="H91" s="9">
        <f t="shared" si="3"/>
        <v>6.4617185348388811E-2</v>
      </c>
      <c r="I91" s="9"/>
      <c r="J91" s="9"/>
    </row>
    <row r="92" spans="2:10" ht="20.149999999999999" customHeight="1" x14ac:dyDescent="0.3">
      <c r="B92" s="5">
        <v>44804</v>
      </c>
      <c r="C92" s="6" t="s">
        <v>7</v>
      </c>
      <c r="D92" s="10" t="s">
        <v>9</v>
      </c>
      <c r="E92" s="7">
        <v>951.93</v>
      </c>
      <c r="F92" s="8">
        <v>1136</v>
      </c>
      <c r="G92" s="14">
        <f t="shared" si="2"/>
        <v>184.07000000000005</v>
      </c>
      <c r="H92" s="9">
        <f t="shared" si="3"/>
        <v>0.19336505835513121</v>
      </c>
      <c r="I92" s="9"/>
      <c r="J92" s="9"/>
    </row>
    <row r="93" spans="2:10" ht="20.149999999999999" customHeight="1" x14ac:dyDescent="0.3">
      <c r="D93" s="2"/>
    </row>
    <row r="94" spans="2:10" ht="20.149999999999999" customHeight="1" x14ac:dyDescent="0.3">
      <c r="D94" s="2"/>
    </row>
    <row r="95" spans="2:10" ht="20.149999999999999" customHeight="1" x14ac:dyDescent="0.3">
      <c r="D95" s="2"/>
    </row>
    <row r="96" spans="2:10" ht="20.149999999999999" customHeight="1" x14ac:dyDescent="0.3">
      <c r="D96" s="2"/>
    </row>
    <row r="97" spans="4:4" ht="20.149999999999999" customHeight="1" x14ac:dyDescent="0.3">
      <c r="D97" s="2"/>
    </row>
    <row r="98" spans="4:4" ht="20.149999999999999" customHeight="1" x14ac:dyDescent="0.3">
      <c r="D98" s="2"/>
    </row>
    <row r="99" spans="4:4" ht="20.149999999999999" customHeight="1" x14ac:dyDescent="0.3">
      <c r="D99" s="2"/>
    </row>
    <row r="100" spans="4:4" ht="20.149999999999999" customHeight="1" x14ac:dyDescent="0.3">
      <c r="D100" s="2"/>
    </row>
    <row r="101" spans="4:4" ht="20.149999999999999" customHeight="1" x14ac:dyDescent="0.3">
      <c r="D101" s="2"/>
    </row>
    <row r="102" spans="4:4" ht="20.149999999999999" customHeight="1" x14ac:dyDescent="0.3">
      <c r="D102" s="2"/>
    </row>
    <row r="103" spans="4:4" ht="20.149999999999999" customHeight="1" x14ac:dyDescent="0.3">
      <c r="D103" s="2"/>
    </row>
    <row r="104" spans="4:4" ht="20.149999999999999" customHeight="1" x14ac:dyDescent="0.3">
      <c r="D104" s="2"/>
    </row>
    <row r="105" spans="4:4" ht="20.149999999999999" customHeight="1" x14ac:dyDescent="0.3">
      <c r="D105" s="2"/>
    </row>
  </sheetData>
  <mergeCells count="1">
    <mergeCell ref="B2:J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17E8-474D-4D66-A9F3-96DAC03348F8}">
  <dimension ref="B2:E25"/>
  <sheetViews>
    <sheetView showGridLines="0" topLeftCell="A7" workbookViewId="0">
      <selection activeCell="I27" sqref="I27"/>
    </sheetView>
  </sheetViews>
  <sheetFormatPr defaultColWidth="9.109375" defaultRowHeight="20.149999999999999" customHeight="1" x14ac:dyDescent="0.3"/>
  <cols>
    <col min="1" max="1" width="3.6640625" style="1" customWidth="1"/>
    <col min="2" max="2" width="15.109375" style="1" bestFit="1" customWidth="1"/>
    <col min="3" max="3" width="22.109375" style="1" customWidth="1"/>
    <col min="4" max="4" width="15" style="1" bestFit="1" customWidth="1"/>
    <col min="5" max="8" width="9.109375" style="1"/>
    <col min="9" max="9" width="13.6640625" style="1" bestFit="1" customWidth="1"/>
    <col min="10" max="10" width="12.44140625" style="1" bestFit="1" customWidth="1"/>
    <col min="11" max="16384" width="9.109375" style="1"/>
  </cols>
  <sheetData>
    <row r="2" spans="2:5" ht="20.149999999999999" customHeight="1" thickBot="1" x14ac:dyDescent="0.35">
      <c r="B2" s="28" t="s">
        <v>19</v>
      </c>
      <c r="C2" s="28"/>
    </row>
    <row r="3" spans="2:5" ht="20.149999999999999" customHeight="1" thickTop="1" x14ac:dyDescent="0.3"/>
    <row r="4" spans="2:5" ht="20.149999999999999" customHeight="1" x14ac:dyDescent="0.3">
      <c r="B4" s="4" t="s">
        <v>8</v>
      </c>
      <c r="C4" s="4" t="s">
        <v>12</v>
      </c>
    </row>
    <row r="5" spans="2:5" ht="20.149999999999999" customHeight="1" x14ac:dyDescent="0.3">
      <c r="B5" s="10" t="s">
        <v>9</v>
      </c>
      <c r="C5" s="13">
        <v>40</v>
      </c>
    </row>
    <row r="6" spans="2:5" ht="20.149999999999999" customHeight="1" x14ac:dyDescent="0.3">
      <c r="B6" s="10" t="s">
        <v>10</v>
      </c>
      <c r="C6" s="13">
        <v>50</v>
      </c>
      <c r="E6" s="2"/>
    </row>
    <row r="7" spans="2:5" ht="20.149999999999999" customHeight="1" x14ac:dyDescent="0.3">
      <c r="B7" s="11"/>
      <c r="C7" s="22"/>
      <c r="E7" s="2"/>
    </row>
    <row r="8" spans="2:5" ht="20.149999999999999" customHeight="1" x14ac:dyDescent="0.3">
      <c r="B8" s="2"/>
    </row>
    <row r="9" spans="2:5" ht="20.149999999999999" customHeight="1" thickBot="1" x14ac:dyDescent="0.35">
      <c r="B9" s="28" t="s">
        <v>18</v>
      </c>
      <c r="C9" s="28"/>
    </row>
    <row r="10" spans="2:5" ht="20.149999999999999" customHeight="1" thickTop="1" x14ac:dyDescent="0.3"/>
    <row r="11" spans="2:5" ht="20.149999999999999" customHeight="1" x14ac:dyDescent="0.3">
      <c r="B11" s="4" t="s">
        <v>14</v>
      </c>
      <c r="C11" s="4" t="s">
        <v>13</v>
      </c>
    </row>
    <row r="12" spans="2:5" ht="20.149999999999999" customHeight="1" x14ac:dyDescent="0.3">
      <c r="B12" s="10" t="s">
        <v>15</v>
      </c>
      <c r="C12" s="12">
        <v>0</v>
      </c>
    </row>
    <row r="13" spans="2:5" ht="20.149999999999999" customHeight="1" x14ac:dyDescent="0.3">
      <c r="B13" s="10" t="s">
        <v>16</v>
      </c>
      <c r="C13" s="16">
        <v>5.0000000000000001E-3</v>
      </c>
    </row>
    <row r="14" spans="2:5" ht="20.149999999999999" customHeight="1" x14ac:dyDescent="0.3">
      <c r="B14" s="15" t="s">
        <v>17</v>
      </c>
      <c r="C14" s="9">
        <v>1.4999999999999999E-2</v>
      </c>
    </row>
    <row r="15" spans="2:5" ht="20.149999999999999" customHeight="1" x14ac:dyDescent="0.3">
      <c r="B15" s="23"/>
      <c r="C15" s="24"/>
    </row>
    <row r="16" spans="2:5" ht="20.149999999999999" customHeight="1" x14ac:dyDescent="0.3">
      <c r="B16" s="23"/>
      <c r="C16" s="24"/>
    </row>
    <row r="17" spans="2:3" ht="20.149999999999999" customHeight="1" x14ac:dyDescent="0.3">
      <c r="B17" s="2"/>
    </row>
    <row r="18" spans="2:3" ht="20.149999999999999" customHeight="1" thickBot="1" x14ac:dyDescent="0.35">
      <c r="B18" s="28" t="s">
        <v>31</v>
      </c>
      <c r="C18" s="28"/>
    </row>
    <row r="19" spans="2:3" ht="20.149999999999999" customHeight="1" thickTop="1" x14ac:dyDescent="0.3"/>
    <row r="20" spans="2:3" ht="20.149999999999999" customHeight="1" x14ac:dyDescent="0.3">
      <c r="B20" s="4" t="s">
        <v>32</v>
      </c>
      <c r="C20" s="4" t="s">
        <v>30</v>
      </c>
    </row>
    <row r="21" spans="2:3" ht="20.149999999999999" customHeight="1" x14ac:dyDescent="0.3">
      <c r="B21" s="3">
        <v>1</v>
      </c>
      <c r="C21" s="21" t="s">
        <v>25</v>
      </c>
    </row>
    <row r="22" spans="2:3" ht="20.149999999999999" customHeight="1" x14ac:dyDescent="0.3">
      <c r="B22" s="3">
        <v>2</v>
      </c>
      <c r="C22" s="21" t="s">
        <v>26</v>
      </c>
    </row>
    <row r="23" spans="2:3" ht="20.149999999999999" customHeight="1" x14ac:dyDescent="0.3">
      <c r="B23" s="3">
        <v>3</v>
      </c>
      <c r="C23" s="21" t="s">
        <v>27</v>
      </c>
    </row>
    <row r="24" spans="2:3" ht="20.149999999999999" customHeight="1" x14ac:dyDescent="0.3">
      <c r="B24" s="3">
        <v>4</v>
      </c>
      <c r="C24" s="21" t="s">
        <v>28</v>
      </c>
    </row>
    <row r="25" spans="2:3" ht="20.149999999999999" customHeight="1" x14ac:dyDescent="0.3">
      <c r="B25" s="3">
        <v>5</v>
      </c>
      <c r="C25" s="21" t="s">
        <v>29</v>
      </c>
    </row>
  </sheetData>
  <mergeCells count="3">
    <mergeCell ref="B2:C2"/>
    <mergeCell ref="B9:C9"/>
    <mergeCell ref="B18:C1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76A6-1947-45CB-9C72-F247552FBE15}">
  <dimension ref="B2:P105"/>
  <sheetViews>
    <sheetView showGridLines="0" workbookViewId="0">
      <selection activeCell="G5" sqref="G5"/>
    </sheetView>
  </sheetViews>
  <sheetFormatPr defaultColWidth="9.109375" defaultRowHeight="20.149999999999999" customHeight="1" x14ac:dyDescent="0.3"/>
  <cols>
    <col min="1" max="1" width="3.6640625" style="1" customWidth="1"/>
    <col min="2" max="2" width="10.6640625" style="1" bestFit="1" customWidth="1"/>
    <col min="3" max="3" width="12.109375" style="1" bestFit="1" customWidth="1"/>
    <col min="4" max="4" width="6.5546875" style="1" bestFit="1" customWidth="1"/>
    <col min="5" max="5" width="12.5546875" style="1" bestFit="1" customWidth="1"/>
    <col min="6" max="6" width="15.33203125" style="1" bestFit="1" customWidth="1"/>
    <col min="7" max="7" width="10.33203125" style="1" bestFit="1" customWidth="1"/>
    <col min="8" max="8" width="15.109375" style="1" bestFit="1" customWidth="1"/>
    <col min="9" max="9" width="8.44140625" style="1" bestFit="1" customWidth="1"/>
    <col min="10" max="10" width="11.88671875" style="1" bestFit="1" customWidth="1"/>
    <col min="11" max="12" width="9.109375" style="1"/>
    <col min="13" max="13" width="11.88671875" style="1" bestFit="1" customWidth="1"/>
    <col min="14" max="14" width="10.6640625" style="1" customWidth="1"/>
    <col min="15" max="15" width="17" style="1" customWidth="1"/>
    <col min="16" max="16" width="15" style="1" bestFit="1" customWidth="1"/>
    <col min="17" max="16384" width="9.109375" style="1"/>
  </cols>
  <sheetData>
    <row r="2" spans="2:10" ht="20.149999999999999" customHeight="1" thickBot="1" x14ac:dyDescent="0.35">
      <c r="B2" s="28" t="s">
        <v>0</v>
      </c>
      <c r="C2" s="28"/>
      <c r="D2" s="28"/>
      <c r="E2" s="28"/>
      <c r="F2" s="28"/>
      <c r="G2" s="28"/>
      <c r="H2" s="28"/>
      <c r="I2" s="28"/>
      <c r="J2" s="28"/>
    </row>
    <row r="3" spans="2:10" ht="20.149999999999999" customHeight="1" thickTop="1" x14ac:dyDescent="0.3"/>
    <row r="4" spans="2:10" ht="20.149999999999999" customHeight="1" x14ac:dyDescent="0.3">
      <c r="B4" s="4" t="s">
        <v>1</v>
      </c>
      <c r="C4" s="4" t="s">
        <v>2</v>
      </c>
      <c r="D4" s="4" t="s">
        <v>8</v>
      </c>
      <c r="E4" s="4" t="s">
        <v>3</v>
      </c>
      <c r="F4" s="4" t="s">
        <v>4</v>
      </c>
      <c r="G4" s="4" t="s">
        <v>14</v>
      </c>
      <c r="H4" s="4" t="s">
        <v>11</v>
      </c>
      <c r="I4" s="4" t="s">
        <v>5</v>
      </c>
      <c r="J4" s="4" t="s">
        <v>30</v>
      </c>
    </row>
    <row r="5" spans="2:10" ht="20.149999999999999" customHeight="1" x14ac:dyDescent="0.3">
      <c r="B5" s="5">
        <v>44743</v>
      </c>
      <c r="C5" s="6" t="s">
        <v>6</v>
      </c>
      <c r="D5" s="10" t="s">
        <v>10</v>
      </c>
      <c r="E5" s="7">
        <v>1112.94</v>
      </c>
      <c r="F5" s="8">
        <v>1288</v>
      </c>
      <c r="G5" s="9">
        <f t="shared" ref="G5:G36" si="0">(F5-E5)/E5</f>
        <v>0.15729509227811017</v>
      </c>
      <c r="H5" s="14" cm="1">
        <f t="array" ref="H5">IFERROR(_xlfn.IFS(AND(G5&gt;12%,G5&lt;20%),0.5%,G5&gt;20%,1.5%,G5&lt;12%,"")*F5,"")</f>
        <v>6.44</v>
      </c>
      <c r="I5" s="8">
        <f t="shared" ref="I5:I36" si="1">F5-E5</f>
        <v>175.05999999999995</v>
      </c>
      <c r="J5" s="3">
        <f>WEEKDAY(B5,11)</f>
        <v>5</v>
      </c>
    </row>
    <row r="6" spans="2:10" ht="20.149999999999999" customHeight="1" x14ac:dyDescent="0.3">
      <c r="B6" s="5">
        <v>44743</v>
      </c>
      <c r="C6" s="21" t="s">
        <v>7</v>
      </c>
      <c r="D6" s="21" t="s">
        <v>9</v>
      </c>
      <c r="E6" s="7">
        <v>1095.5</v>
      </c>
      <c r="F6" s="8">
        <v>1250.75</v>
      </c>
      <c r="G6" s="9">
        <f t="shared" si="0"/>
        <v>0.14171611136467366</v>
      </c>
      <c r="H6" s="14" cm="1">
        <f t="array" ref="H6">IFERROR(_xlfn.IFS(AND(G6&gt;12%,G6&lt;20%),0.5%,G6&gt;20%,1.5%,G6&lt;12%,"")*F6,"")</f>
        <v>6.2537500000000001</v>
      </c>
      <c r="I6" s="8">
        <f t="shared" si="1"/>
        <v>155.25</v>
      </c>
      <c r="J6" s="3">
        <f t="shared" ref="J6:J69" si="2">WEEKDAY(B6,11)</f>
        <v>5</v>
      </c>
    </row>
    <row r="7" spans="2:10" ht="20.149999999999999" customHeight="1" x14ac:dyDescent="0.3">
      <c r="B7" s="5">
        <v>44746</v>
      </c>
      <c r="C7" s="6" t="s">
        <v>6</v>
      </c>
      <c r="D7" s="10" t="s">
        <v>10</v>
      </c>
      <c r="E7" s="7">
        <v>1120.94</v>
      </c>
      <c r="F7" s="8">
        <v>1295</v>
      </c>
      <c r="G7" s="9">
        <f t="shared" si="0"/>
        <v>0.15528038967295299</v>
      </c>
      <c r="H7" s="14" cm="1">
        <f t="array" ref="H7">IFERROR(_xlfn.IFS(AND(G7&gt;12%,G7&lt;20%),0.5%,G7&gt;20%,1.5%,G7&lt;12%,"")*F7,"")</f>
        <v>6.4750000000000005</v>
      </c>
      <c r="I7" s="8">
        <f t="shared" si="1"/>
        <v>174.05999999999995</v>
      </c>
      <c r="J7" s="3">
        <f t="shared" si="2"/>
        <v>1</v>
      </c>
    </row>
    <row r="8" spans="2:10" ht="20.149999999999999" customHeight="1" x14ac:dyDescent="0.3">
      <c r="B8" s="5">
        <v>44746</v>
      </c>
      <c r="C8" s="6" t="s">
        <v>7</v>
      </c>
      <c r="D8" s="10" t="s">
        <v>9</v>
      </c>
      <c r="E8" s="7">
        <v>1509.73</v>
      </c>
      <c r="F8" s="8">
        <v>1687.75</v>
      </c>
      <c r="G8" s="9">
        <f t="shared" si="0"/>
        <v>0.11791512389632582</v>
      </c>
      <c r="H8" s="14" t="str" cm="1">
        <f t="array" ref="H8">IFERROR(_xlfn.IFS(AND(G8&gt;12%,G8&lt;20%),0.5%,G8&gt;20%,1.5%,G8&lt;12%,"")*F8,"")</f>
        <v/>
      </c>
      <c r="I8" s="8">
        <f t="shared" si="1"/>
        <v>178.01999999999998</v>
      </c>
      <c r="J8" s="3">
        <f t="shared" si="2"/>
        <v>1</v>
      </c>
    </row>
    <row r="9" spans="2:10" ht="20.149999999999999" customHeight="1" x14ac:dyDescent="0.3">
      <c r="B9" s="5">
        <v>44747</v>
      </c>
      <c r="C9" s="6" t="s">
        <v>6</v>
      </c>
      <c r="D9" s="10" t="s">
        <v>9</v>
      </c>
      <c r="E9" s="7">
        <v>1235.33</v>
      </c>
      <c r="F9" s="8">
        <v>1412.25</v>
      </c>
      <c r="G9" s="9">
        <f t="shared" si="0"/>
        <v>0.14321679227412926</v>
      </c>
      <c r="H9" s="14" cm="1">
        <f t="array" ref="H9">IFERROR(_xlfn.IFS(AND(G9&gt;12%,G9&lt;20%),0.5%,G9&gt;20%,1.5%,G9&lt;12%,"")*F9,"")</f>
        <v>7.0612500000000002</v>
      </c>
      <c r="I9" s="8">
        <f t="shared" si="1"/>
        <v>176.92000000000007</v>
      </c>
      <c r="J9" s="3">
        <f t="shared" si="2"/>
        <v>2</v>
      </c>
    </row>
    <row r="10" spans="2:10" ht="20.149999999999999" customHeight="1" x14ac:dyDescent="0.3">
      <c r="B10" s="5">
        <v>44747</v>
      </c>
      <c r="C10" s="6" t="s">
        <v>7</v>
      </c>
      <c r="D10" s="10" t="s">
        <v>10</v>
      </c>
      <c r="E10" s="7">
        <v>881.93</v>
      </c>
      <c r="F10" s="8">
        <v>962</v>
      </c>
      <c r="G10" s="9">
        <f t="shared" si="0"/>
        <v>9.0789518442506836E-2</v>
      </c>
      <c r="H10" s="14" t="str" cm="1">
        <f t="array" ref="H10">IFERROR(_xlfn.IFS(AND(G10&gt;12%,G10&lt;20%),0.5%,G10&gt;20%,1.5%,G10&lt;12%,"")*F10,"")</f>
        <v/>
      </c>
      <c r="I10" s="8">
        <f t="shared" si="1"/>
        <v>80.07000000000005</v>
      </c>
      <c r="J10" s="3">
        <f t="shared" si="2"/>
        <v>2</v>
      </c>
    </row>
    <row r="11" spans="2:10" ht="20.149999999999999" customHeight="1" x14ac:dyDescent="0.3">
      <c r="B11" s="5">
        <v>44748</v>
      </c>
      <c r="C11" s="6" t="s">
        <v>6</v>
      </c>
      <c r="D11" s="10" t="s">
        <v>10</v>
      </c>
      <c r="E11" s="7">
        <v>1075.7</v>
      </c>
      <c r="F11" s="8">
        <v>1142.75</v>
      </c>
      <c r="G11" s="9">
        <f t="shared" si="0"/>
        <v>6.2331505066468298E-2</v>
      </c>
      <c r="H11" s="14" t="str" cm="1">
        <f t="array" ref="H11">IFERROR(_xlfn.IFS(AND(G11&gt;12%,G11&lt;20%),0.5%,G11&gt;20%,1.5%,G11&lt;12%,"")*F11,"")</f>
        <v/>
      </c>
      <c r="I11" s="8">
        <f t="shared" si="1"/>
        <v>67.049999999999955</v>
      </c>
      <c r="J11" s="3">
        <f t="shared" si="2"/>
        <v>3</v>
      </c>
    </row>
    <row r="12" spans="2:10" ht="20.149999999999999" customHeight="1" x14ac:dyDescent="0.3">
      <c r="B12" s="5">
        <v>44748</v>
      </c>
      <c r="C12" s="6" t="s">
        <v>7</v>
      </c>
      <c r="D12" s="10" t="s">
        <v>9</v>
      </c>
      <c r="E12" s="7">
        <v>714.58</v>
      </c>
      <c r="F12" s="8">
        <v>800.5</v>
      </c>
      <c r="G12" s="9">
        <f t="shared" si="0"/>
        <v>0.12023846175375739</v>
      </c>
      <c r="H12" s="14" cm="1">
        <f t="array" ref="H12">IFERROR(_xlfn.IFS(AND(G12&gt;12%,G12&lt;20%),0.5%,G12&gt;20%,1.5%,G12&lt;12%,"")*F12,"")</f>
        <v>4.0025000000000004</v>
      </c>
      <c r="I12" s="8">
        <f t="shared" si="1"/>
        <v>85.919999999999959</v>
      </c>
      <c r="J12" s="3">
        <f t="shared" si="2"/>
        <v>3</v>
      </c>
    </row>
    <row r="13" spans="2:10" ht="20.149999999999999" customHeight="1" x14ac:dyDescent="0.3">
      <c r="B13" s="5">
        <v>44749</v>
      </c>
      <c r="C13" s="6" t="s">
        <v>6</v>
      </c>
      <c r="D13" s="10" t="s">
        <v>9</v>
      </c>
      <c r="E13" s="7">
        <v>1299.1099999999999</v>
      </c>
      <c r="F13" s="8">
        <v>1360</v>
      </c>
      <c r="G13" s="9">
        <f t="shared" si="0"/>
        <v>4.6870549837966076E-2</v>
      </c>
      <c r="H13" s="14" t="str" cm="1">
        <f t="array" ref="H13">IFERROR(_xlfn.IFS(AND(G13&gt;12%,G13&lt;20%),0.5%,G13&gt;20%,1.5%,G13&lt;12%,"")*F13,"")</f>
        <v/>
      </c>
      <c r="I13" s="8">
        <f t="shared" si="1"/>
        <v>60.8900000000001</v>
      </c>
      <c r="J13" s="3">
        <f t="shared" si="2"/>
        <v>4</v>
      </c>
    </row>
    <row r="14" spans="2:10" ht="20.149999999999999" customHeight="1" x14ac:dyDescent="0.3">
      <c r="B14" s="5">
        <v>44749</v>
      </c>
      <c r="C14" s="6" t="s">
        <v>7</v>
      </c>
      <c r="D14" s="10" t="s">
        <v>10</v>
      </c>
      <c r="E14" s="7">
        <v>1087.48</v>
      </c>
      <c r="F14" s="8">
        <v>1268.5</v>
      </c>
      <c r="G14" s="9">
        <f t="shared" si="0"/>
        <v>0.16645823371464299</v>
      </c>
      <c r="H14" s="14" cm="1">
        <f t="array" ref="H14">IFERROR(_xlfn.IFS(AND(G14&gt;12%,G14&lt;20%),0.5%,G14&gt;20%,1.5%,G14&lt;12%,"")*F14,"")</f>
        <v>6.3425000000000002</v>
      </c>
      <c r="I14" s="8">
        <f t="shared" si="1"/>
        <v>181.01999999999998</v>
      </c>
      <c r="J14" s="3">
        <f t="shared" si="2"/>
        <v>4</v>
      </c>
    </row>
    <row r="15" spans="2:10" ht="20.149999999999999" customHeight="1" x14ac:dyDescent="0.3">
      <c r="B15" s="5">
        <v>44750</v>
      </c>
      <c r="C15" s="6" t="s">
        <v>6</v>
      </c>
      <c r="D15" s="10" t="s">
        <v>10</v>
      </c>
      <c r="E15" s="7">
        <v>803.79</v>
      </c>
      <c r="F15" s="8">
        <v>907.75</v>
      </c>
      <c r="G15" s="9">
        <f t="shared" si="0"/>
        <v>0.12933726470844381</v>
      </c>
      <c r="H15" s="14" cm="1">
        <f t="array" ref="H15">IFERROR(_xlfn.IFS(AND(G15&gt;12%,G15&lt;20%),0.5%,G15&gt;20%,1.5%,G15&lt;12%,"")*F15,"")</f>
        <v>4.5387500000000003</v>
      </c>
      <c r="I15" s="8">
        <f t="shared" si="1"/>
        <v>103.96000000000004</v>
      </c>
      <c r="J15" s="3">
        <f t="shared" si="2"/>
        <v>5</v>
      </c>
    </row>
    <row r="16" spans="2:10" ht="20.149999999999999" customHeight="1" x14ac:dyDescent="0.3">
      <c r="B16" s="5">
        <v>44750</v>
      </c>
      <c r="C16" s="6" t="s">
        <v>7</v>
      </c>
      <c r="D16" s="10" t="s">
        <v>9</v>
      </c>
      <c r="E16" s="7">
        <v>1113.73</v>
      </c>
      <c r="F16" s="8">
        <v>1278.75</v>
      </c>
      <c r="G16" s="9">
        <f t="shared" si="0"/>
        <v>0.14816876621802411</v>
      </c>
      <c r="H16" s="14" cm="1">
        <f t="array" ref="H16">IFERROR(_xlfn.IFS(AND(G16&gt;12%,G16&lt;20%),0.5%,G16&gt;20%,1.5%,G16&lt;12%,"")*F16,"")</f>
        <v>6.3937499999999998</v>
      </c>
      <c r="I16" s="8">
        <f t="shared" si="1"/>
        <v>165.01999999999998</v>
      </c>
      <c r="J16" s="3">
        <f t="shared" si="2"/>
        <v>5</v>
      </c>
    </row>
    <row r="17" spans="2:16" ht="20.149999999999999" customHeight="1" x14ac:dyDescent="0.3">
      <c r="B17" s="5">
        <v>44753</v>
      </c>
      <c r="C17" s="6" t="s">
        <v>6</v>
      </c>
      <c r="D17" s="10" t="s">
        <v>9</v>
      </c>
      <c r="E17" s="7">
        <v>843.16</v>
      </c>
      <c r="F17" s="8">
        <v>965.25</v>
      </c>
      <c r="G17" s="9">
        <f t="shared" si="0"/>
        <v>0.14480051235827132</v>
      </c>
      <c r="H17" s="14" cm="1">
        <f t="array" ref="H17">IFERROR(_xlfn.IFS(AND(G17&gt;12%,G17&lt;20%),0.5%,G17&gt;20%,1.5%,G17&lt;12%,"")*F17,"")</f>
        <v>4.8262499999999999</v>
      </c>
      <c r="I17" s="8">
        <f t="shared" si="1"/>
        <v>122.09000000000003</v>
      </c>
      <c r="J17" s="3">
        <f t="shared" si="2"/>
        <v>1</v>
      </c>
    </row>
    <row r="18" spans="2:16" ht="20.149999999999999" customHeight="1" x14ac:dyDescent="0.3">
      <c r="B18" s="5">
        <v>44753</v>
      </c>
      <c r="C18" s="6" t="s">
        <v>7</v>
      </c>
      <c r="D18" s="10" t="s">
        <v>10</v>
      </c>
      <c r="E18" s="7">
        <v>1552.52</v>
      </c>
      <c r="F18" s="8">
        <v>1717.5</v>
      </c>
      <c r="G18" s="9">
        <f t="shared" si="0"/>
        <v>0.10626594182361582</v>
      </c>
      <c r="H18" s="14" t="str" cm="1">
        <f t="array" ref="H18">IFERROR(_xlfn.IFS(AND(G18&gt;12%,G18&lt;20%),0.5%,G18&gt;20%,1.5%,G18&lt;12%,"")*F18,"")</f>
        <v/>
      </c>
      <c r="I18" s="8">
        <f t="shared" si="1"/>
        <v>164.98000000000002</v>
      </c>
      <c r="J18" s="3">
        <f t="shared" si="2"/>
        <v>1</v>
      </c>
    </row>
    <row r="19" spans="2:16" ht="20.149999999999999" customHeight="1" x14ac:dyDescent="0.3">
      <c r="B19" s="5">
        <v>44754</v>
      </c>
      <c r="C19" s="6" t="s">
        <v>6</v>
      </c>
      <c r="D19" s="10" t="s">
        <v>10</v>
      </c>
      <c r="E19" s="7">
        <v>1382.27</v>
      </c>
      <c r="F19" s="8">
        <v>1550.25</v>
      </c>
      <c r="G19" s="9">
        <f t="shared" si="0"/>
        <v>0.12152473829280822</v>
      </c>
      <c r="H19" s="14" cm="1">
        <f t="array" ref="H19">IFERROR(_xlfn.IFS(AND(G19&gt;12%,G19&lt;20%),0.5%,G19&gt;20%,1.5%,G19&lt;12%,"")*F19,"")</f>
        <v>7.7512499999999998</v>
      </c>
      <c r="I19" s="8">
        <f t="shared" si="1"/>
        <v>167.98000000000002</v>
      </c>
      <c r="J19" s="3">
        <f t="shared" si="2"/>
        <v>2</v>
      </c>
    </row>
    <row r="20" spans="2:16" ht="20.149999999999999" customHeight="1" x14ac:dyDescent="0.3">
      <c r="B20" s="5">
        <v>44754</v>
      </c>
      <c r="C20" s="6" t="s">
        <v>7</v>
      </c>
      <c r="D20" s="10" t="s">
        <v>9</v>
      </c>
      <c r="E20" s="7">
        <v>1515.76</v>
      </c>
      <c r="F20" s="8">
        <v>1622.75</v>
      </c>
      <c r="G20" s="9">
        <f t="shared" si="0"/>
        <v>7.0585053042698062E-2</v>
      </c>
      <c r="H20" s="14" t="str" cm="1">
        <f t="array" ref="H20">IFERROR(_xlfn.IFS(AND(G20&gt;12%,G20&lt;20%),0.5%,G20&gt;20%,1.5%,G20&lt;12%,"")*F20,"")</f>
        <v/>
      </c>
      <c r="I20" s="8">
        <f t="shared" si="1"/>
        <v>106.99000000000001</v>
      </c>
      <c r="J20" s="3">
        <f t="shared" si="2"/>
        <v>2</v>
      </c>
      <c r="L20" s="18" t="s">
        <v>22</v>
      </c>
    </row>
    <row r="21" spans="2:16" ht="20.149999999999999" customHeight="1" x14ac:dyDescent="0.3">
      <c r="B21" s="5">
        <v>44755</v>
      </c>
      <c r="C21" s="6" t="s">
        <v>6</v>
      </c>
      <c r="D21" s="10" t="s">
        <v>9</v>
      </c>
      <c r="E21" s="7">
        <v>1264.56</v>
      </c>
      <c r="F21" s="8">
        <v>1328.5</v>
      </c>
      <c r="G21" s="9">
        <f t="shared" si="0"/>
        <v>5.056304169039038E-2</v>
      </c>
      <c r="H21" s="14" t="str" cm="1">
        <f t="array" ref="H21">IFERROR(_xlfn.IFS(AND(G21&gt;12%,G21&lt;20%),0.5%,G21&gt;20%,1.5%,G21&lt;12%,"")*F21,"")</f>
        <v/>
      </c>
      <c r="I21" s="8">
        <f t="shared" si="1"/>
        <v>63.940000000000055</v>
      </c>
      <c r="J21" s="3">
        <f t="shared" si="2"/>
        <v>3</v>
      </c>
      <c r="M21" s="31" t="s">
        <v>20</v>
      </c>
      <c r="N21" s="30" t="s">
        <v>8</v>
      </c>
      <c r="O21" s="30"/>
    </row>
    <row r="22" spans="2:16" ht="20.149999999999999" customHeight="1" x14ac:dyDescent="0.3">
      <c r="B22" s="5">
        <v>44755</v>
      </c>
      <c r="C22" s="6" t="s">
        <v>7</v>
      </c>
      <c r="D22" s="10" t="s">
        <v>10</v>
      </c>
      <c r="E22" s="7">
        <v>1251.98</v>
      </c>
      <c r="F22" s="8">
        <v>1402</v>
      </c>
      <c r="G22" s="9">
        <f t="shared" si="0"/>
        <v>0.11982619530663427</v>
      </c>
      <c r="H22" s="14" t="str" cm="1">
        <f t="array" ref="H22">IFERROR(_xlfn.IFS(AND(G22&gt;12%,G22&lt;20%),0.5%,G22&gt;20%,1.5%,G22&lt;12%,"")*F22,"")</f>
        <v/>
      </c>
      <c r="I22" s="8">
        <f t="shared" si="1"/>
        <v>150.01999999999998</v>
      </c>
      <c r="J22" s="3">
        <f t="shared" si="2"/>
        <v>3</v>
      </c>
      <c r="M22" s="32"/>
      <c r="N22" s="17" t="s">
        <v>9</v>
      </c>
      <c r="O22" s="17" t="s">
        <v>10</v>
      </c>
    </row>
    <row r="23" spans="2:16" ht="20.149999999999999" customHeight="1" x14ac:dyDescent="0.3">
      <c r="B23" s="5">
        <v>44756</v>
      </c>
      <c r="C23" s="6" t="s">
        <v>6</v>
      </c>
      <c r="D23" s="10" t="s">
        <v>10</v>
      </c>
      <c r="E23" s="7">
        <v>986.11</v>
      </c>
      <c r="F23" s="8">
        <v>1054</v>
      </c>
      <c r="G23" s="9">
        <f t="shared" si="0"/>
        <v>6.8846274756365913E-2</v>
      </c>
      <c r="H23" s="14" t="str" cm="1">
        <f t="array" ref="H23">IFERROR(_xlfn.IFS(AND(G23&gt;12%,G23&lt;20%),0.5%,G23&gt;20%,1.5%,G23&lt;12%,"")*F23,"")</f>
        <v/>
      </c>
      <c r="I23" s="8">
        <f t="shared" si="1"/>
        <v>67.889999999999986</v>
      </c>
      <c r="J23" s="3">
        <f t="shared" si="2"/>
        <v>4</v>
      </c>
      <c r="M23" s="10" t="s">
        <v>6</v>
      </c>
      <c r="N23" s="3">
        <f>COUNTIFS($C$5:$C$92,M23,$D$5:$D$92,N$22)</f>
        <v>17</v>
      </c>
      <c r="O23" s="3">
        <f>COUNTIFS($C$5:$C$92,M23,$D$5:$D$92,O$22)</f>
        <v>27</v>
      </c>
    </row>
    <row r="24" spans="2:16" ht="20.149999999999999" customHeight="1" x14ac:dyDescent="0.3">
      <c r="B24" s="5">
        <v>44756</v>
      </c>
      <c r="C24" s="6" t="s">
        <v>7</v>
      </c>
      <c r="D24" s="10" t="s">
        <v>9</v>
      </c>
      <c r="E24" s="7">
        <v>1514.2</v>
      </c>
      <c r="F24" s="8">
        <v>1571.25</v>
      </c>
      <c r="G24" s="9">
        <f t="shared" si="0"/>
        <v>3.7676660943072218E-2</v>
      </c>
      <c r="H24" s="14" t="str" cm="1">
        <f t="array" ref="H24">IFERROR(_xlfn.IFS(AND(G24&gt;12%,G24&lt;20%),0.5%,G24&gt;20%,1.5%,G24&lt;12%,"")*F24,"")</f>
        <v/>
      </c>
      <c r="I24" s="8">
        <f t="shared" si="1"/>
        <v>57.049999999999955</v>
      </c>
      <c r="J24" s="3">
        <f t="shared" si="2"/>
        <v>4</v>
      </c>
      <c r="M24" s="10" t="s">
        <v>7</v>
      </c>
      <c r="N24" s="3">
        <f>COUNTIFS($C$5:$C$92,M24,$D$5:$D$92,N$22)</f>
        <v>27</v>
      </c>
      <c r="O24" s="3">
        <f>COUNTIFS($C$5:$C$92,M24,$D$5:$D$92,O$22)</f>
        <v>17</v>
      </c>
    </row>
    <row r="25" spans="2:16" ht="20.149999999999999" customHeight="1" x14ac:dyDescent="0.3">
      <c r="B25" s="5">
        <v>44757</v>
      </c>
      <c r="C25" s="6" t="s">
        <v>6</v>
      </c>
      <c r="D25" s="10" t="s">
        <v>9</v>
      </c>
      <c r="E25" s="7">
        <v>1318.85</v>
      </c>
      <c r="F25" s="8">
        <v>1454.75</v>
      </c>
      <c r="G25" s="9">
        <f t="shared" si="0"/>
        <v>0.10304431891420564</v>
      </c>
      <c r="H25" s="14" t="str" cm="1">
        <f t="array" ref="H25">IFERROR(_xlfn.IFS(AND(G25&gt;12%,G25&lt;20%),0.5%,G25&gt;20%,1.5%,G25&lt;12%,"")*F25,"")</f>
        <v/>
      </c>
      <c r="I25" s="8">
        <f t="shared" si="1"/>
        <v>135.90000000000009</v>
      </c>
      <c r="J25" s="3">
        <f t="shared" si="2"/>
        <v>5</v>
      </c>
      <c r="M25" s="11"/>
    </row>
    <row r="26" spans="2:16" ht="20.149999999999999" customHeight="1" x14ac:dyDescent="0.3">
      <c r="B26" s="5">
        <v>44757</v>
      </c>
      <c r="C26" s="6" t="s">
        <v>7</v>
      </c>
      <c r="D26" s="10" t="s">
        <v>10</v>
      </c>
      <c r="E26" s="7">
        <v>1495.11</v>
      </c>
      <c r="F26" s="8">
        <v>1655</v>
      </c>
      <c r="G26" s="9">
        <f t="shared" si="0"/>
        <v>0.10694196413641813</v>
      </c>
      <c r="H26" s="14" t="str" cm="1">
        <f t="array" ref="H26">IFERROR(_xlfn.IFS(AND(G26&gt;12%,G26&lt;20%),0.5%,G26&gt;20%,1.5%,G26&lt;12%,"")*F26,"")</f>
        <v/>
      </c>
      <c r="I26" s="8">
        <f t="shared" si="1"/>
        <v>159.8900000000001</v>
      </c>
      <c r="J26" s="3">
        <f t="shared" si="2"/>
        <v>5</v>
      </c>
      <c r="L26" s="18" t="s">
        <v>23</v>
      </c>
    </row>
    <row r="27" spans="2:16" ht="20.149999999999999" customHeight="1" x14ac:dyDescent="0.3">
      <c r="B27" s="5">
        <v>44760</v>
      </c>
      <c r="C27" s="6" t="s">
        <v>6</v>
      </c>
      <c r="D27" s="10" t="s">
        <v>10</v>
      </c>
      <c r="E27" s="7">
        <v>1187.7</v>
      </c>
      <c r="F27" s="8">
        <v>1297.75</v>
      </c>
      <c r="G27" s="9">
        <f t="shared" si="0"/>
        <v>9.2658078639387007E-2</v>
      </c>
      <c r="H27" s="14" t="str" cm="1">
        <f t="array" ref="H27">IFERROR(_xlfn.IFS(AND(G27&gt;12%,G27&lt;20%),0.5%,G27&gt;20%,1.5%,G27&lt;12%,"")*F27,"")</f>
        <v/>
      </c>
      <c r="I27" s="8">
        <f t="shared" si="1"/>
        <v>110.04999999999995</v>
      </c>
      <c r="J27" s="3">
        <f t="shared" si="2"/>
        <v>1</v>
      </c>
      <c r="M27" s="33" t="s">
        <v>20</v>
      </c>
      <c r="N27" s="35" t="s">
        <v>8</v>
      </c>
      <c r="O27" s="35"/>
      <c r="P27" s="29" t="s">
        <v>21</v>
      </c>
    </row>
    <row r="28" spans="2:16" ht="20.149999999999999" customHeight="1" x14ac:dyDescent="0.3">
      <c r="B28" s="5">
        <v>44760</v>
      </c>
      <c r="C28" s="6" t="s">
        <v>7</v>
      </c>
      <c r="D28" s="10" t="s">
        <v>9</v>
      </c>
      <c r="E28" s="7">
        <v>1150.74</v>
      </c>
      <c r="F28" s="8">
        <v>1225.75</v>
      </c>
      <c r="G28" s="9">
        <f t="shared" si="0"/>
        <v>6.518414237794809E-2</v>
      </c>
      <c r="H28" s="14" t="str" cm="1">
        <f t="array" ref="H28">IFERROR(_xlfn.IFS(AND(G28&gt;12%,G28&lt;20%),0.5%,G28&gt;20%,1.5%,G28&lt;12%,"")*F28,"")</f>
        <v/>
      </c>
      <c r="I28" s="8">
        <f t="shared" si="1"/>
        <v>75.009999999999991</v>
      </c>
      <c r="J28" s="3">
        <f t="shared" si="2"/>
        <v>1</v>
      </c>
      <c r="M28" s="34"/>
      <c r="N28" s="19" t="s">
        <v>9</v>
      </c>
      <c r="O28" s="19" t="s">
        <v>10</v>
      </c>
      <c r="P28" s="29"/>
    </row>
    <row r="29" spans="2:16" ht="20.149999999999999" customHeight="1" x14ac:dyDescent="0.3">
      <c r="B29" s="5">
        <v>44761</v>
      </c>
      <c r="C29" s="6" t="s">
        <v>6</v>
      </c>
      <c r="D29" s="10" t="s">
        <v>9</v>
      </c>
      <c r="E29" s="7">
        <v>1562.68</v>
      </c>
      <c r="F29" s="8">
        <v>1736.75</v>
      </c>
      <c r="G29" s="9">
        <f t="shared" si="0"/>
        <v>0.11139196764532722</v>
      </c>
      <c r="H29" s="14" t="str" cm="1">
        <f t="array" ref="H29">IFERROR(_xlfn.IFS(AND(G29&gt;12%,G29&lt;20%),0.5%,G29&gt;20%,1.5%,G29&lt;12%,"")*F29,"")</f>
        <v/>
      </c>
      <c r="I29" s="8">
        <f t="shared" si="1"/>
        <v>174.06999999999994</v>
      </c>
      <c r="J29" s="3">
        <f t="shared" si="2"/>
        <v>2</v>
      </c>
      <c r="M29" s="10" t="s">
        <v>6</v>
      </c>
      <c r="N29" s="20">
        <f>N23*'Reference Data'!$C$5</f>
        <v>680</v>
      </c>
      <c r="O29" s="20">
        <f>O23*'Reference Data'!$C$6</f>
        <v>1350</v>
      </c>
      <c r="P29" s="20">
        <f>SUM(N29:O29)</f>
        <v>2030</v>
      </c>
    </row>
    <row r="30" spans="2:16" ht="20.149999999999999" customHeight="1" x14ac:dyDescent="0.3">
      <c r="B30" s="5">
        <v>44761</v>
      </c>
      <c r="C30" s="6" t="s">
        <v>7</v>
      </c>
      <c r="D30" s="10" t="s">
        <v>10</v>
      </c>
      <c r="E30" s="7">
        <v>1514.13</v>
      </c>
      <c r="F30" s="8">
        <v>1620.25</v>
      </c>
      <c r="G30" s="9">
        <f t="shared" si="0"/>
        <v>7.0086452286131237E-2</v>
      </c>
      <c r="H30" s="14" t="str" cm="1">
        <f t="array" ref="H30">IFERROR(_xlfn.IFS(AND(G30&gt;12%,G30&lt;20%),0.5%,G30&gt;20%,1.5%,G30&lt;12%,"")*F30,"")</f>
        <v/>
      </c>
      <c r="I30" s="8">
        <f t="shared" si="1"/>
        <v>106.11999999999989</v>
      </c>
      <c r="J30" s="3">
        <f t="shared" si="2"/>
        <v>2</v>
      </c>
      <c r="M30" s="10" t="s">
        <v>7</v>
      </c>
      <c r="N30" s="20">
        <f>N24*'Reference Data'!$C$5</f>
        <v>1080</v>
      </c>
      <c r="O30" s="20">
        <f>O24*'Reference Data'!$C$6</f>
        <v>850</v>
      </c>
      <c r="P30" s="20">
        <f>SUM(N30:O30)</f>
        <v>1930</v>
      </c>
    </row>
    <row r="31" spans="2:16" ht="20.149999999999999" customHeight="1" x14ac:dyDescent="0.3">
      <c r="B31" s="5">
        <v>44762</v>
      </c>
      <c r="C31" s="6" t="s">
        <v>6</v>
      </c>
      <c r="D31" s="10" t="s">
        <v>10</v>
      </c>
      <c r="E31" s="7">
        <v>778.27</v>
      </c>
      <c r="F31" s="8">
        <v>930.25</v>
      </c>
      <c r="G31" s="9">
        <f t="shared" si="0"/>
        <v>0.19527927325992267</v>
      </c>
      <c r="H31" s="14" cm="1">
        <f t="array" ref="H31">IFERROR(_xlfn.IFS(AND(G31&gt;12%,G31&lt;20%),0.5%,G31&gt;20%,1.5%,G31&lt;12%,"")*F31,"")</f>
        <v>4.6512500000000001</v>
      </c>
      <c r="I31" s="8">
        <f t="shared" si="1"/>
        <v>151.98000000000002</v>
      </c>
      <c r="J31" s="3">
        <f t="shared" si="2"/>
        <v>3</v>
      </c>
    </row>
    <row r="32" spans="2:16" ht="20.149999999999999" customHeight="1" x14ac:dyDescent="0.3">
      <c r="B32" s="5">
        <v>44762</v>
      </c>
      <c r="C32" s="6" t="s">
        <v>7</v>
      </c>
      <c r="D32" s="10" t="s">
        <v>9</v>
      </c>
      <c r="E32" s="7">
        <v>1270.6600000000001</v>
      </c>
      <c r="F32" s="8">
        <v>1334.75</v>
      </c>
      <c r="G32" s="9">
        <f t="shared" si="0"/>
        <v>5.0438354870697047E-2</v>
      </c>
      <c r="H32" s="14" t="str" cm="1">
        <f t="array" ref="H32">IFERROR(_xlfn.IFS(AND(G32&gt;12%,G32&lt;20%),0.5%,G32&gt;20%,1.5%,G32&lt;12%,"")*F32,"")</f>
        <v/>
      </c>
      <c r="I32" s="8">
        <f t="shared" si="1"/>
        <v>64.089999999999918</v>
      </c>
      <c r="J32" s="3">
        <f t="shared" si="2"/>
        <v>3</v>
      </c>
      <c r="L32" s="18" t="s">
        <v>24</v>
      </c>
    </row>
    <row r="33" spans="2:16" ht="20.149999999999999" customHeight="1" x14ac:dyDescent="0.3">
      <c r="B33" s="5">
        <v>44763</v>
      </c>
      <c r="C33" s="6" t="s">
        <v>6</v>
      </c>
      <c r="D33" s="10" t="s">
        <v>9</v>
      </c>
      <c r="E33" s="7">
        <v>766.72</v>
      </c>
      <c r="F33" s="8">
        <v>841.75</v>
      </c>
      <c r="G33" s="9">
        <f t="shared" si="0"/>
        <v>9.7858409849749542E-2</v>
      </c>
      <c r="H33" s="14" t="str" cm="1">
        <f t="array" ref="H33">IFERROR(_xlfn.IFS(AND(G33&gt;12%,G33&lt;20%),0.5%,G33&gt;20%,1.5%,G33&lt;12%,"")*F33,"")</f>
        <v/>
      </c>
      <c r="I33" s="8">
        <f t="shared" si="1"/>
        <v>75.029999999999973</v>
      </c>
      <c r="J33" s="3">
        <f t="shared" si="2"/>
        <v>4</v>
      </c>
      <c r="M33" s="25" t="s">
        <v>9</v>
      </c>
      <c r="N33" s="25" t="s">
        <v>21</v>
      </c>
      <c r="O33" s="25" t="s">
        <v>33</v>
      </c>
      <c r="P33" s="25" t="s">
        <v>34</v>
      </c>
    </row>
    <row r="34" spans="2:16" ht="20.149999999999999" customHeight="1" x14ac:dyDescent="0.3">
      <c r="B34" s="5">
        <v>44763</v>
      </c>
      <c r="C34" s="6" t="s">
        <v>7</v>
      </c>
      <c r="D34" s="10" t="s">
        <v>10</v>
      </c>
      <c r="E34" s="7">
        <v>1041.1300000000001</v>
      </c>
      <c r="F34" s="8">
        <v>1157.25</v>
      </c>
      <c r="G34" s="9">
        <f t="shared" si="0"/>
        <v>0.11153266162727025</v>
      </c>
      <c r="H34" s="14" t="str" cm="1">
        <f t="array" ref="H34">IFERROR(_xlfn.IFS(AND(G34&gt;12%,G34&lt;20%),0.5%,G34&gt;20%,1.5%,G34&lt;12%,"")*F34,"")</f>
        <v/>
      </c>
      <c r="I34" s="8">
        <f t="shared" si="1"/>
        <v>116.11999999999989</v>
      </c>
      <c r="J34" s="3">
        <f t="shared" si="2"/>
        <v>4</v>
      </c>
      <c r="M34" s="21" t="s">
        <v>25</v>
      </c>
      <c r="N34" s="3">
        <f>COUNTIF($J$5:$J$92,'Reference Data'!B21)</f>
        <v>18</v>
      </c>
      <c r="O34" s="7">
        <f>SUMIF($J$5:$J$92,'Reference Data'!B21,$I$5:$I$92)</f>
        <v>2329.54</v>
      </c>
      <c r="P34" s="8">
        <f>O34/N34</f>
        <v>129.41888888888889</v>
      </c>
    </row>
    <row r="35" spans="2:16" ht="20.149999999999999" customHeight="1" x14ac:dyDescent="0.3">
      <c r="B35" s="5">
        <v>44764</v>
      </c>
      <c r="C35" s="6" t="s">
        <v>6</v>
      </c>
      <c r="D35" s="10" t="s">
        <v>10</v>
      </c>
      <c r="E35" s="7">
        <v>1218.08</v>
      </c>
      <c r="F35" s="8">
        <v>1344</v>
      </c>
      <c r="G35" s="9">
        <f t="shared" si="0"/>
        <v>0.10337580454485755</v>
      </c>
      <c r="H35" s="14" t="str" cm="1">
        <f t="array" ref="H35">IFERROR(_xlfn.IFS(AND(G35&gt;12%,G35&lt;20%),0.5%,G35&gt;20%,1.5%,G35&lt;12%,"")*F35,"")</f>
        <v/>
      </c>
      <c r="I35" s="8">
        <f t="shared" si="1"/>
        <v>125.92000000000007</v>
      </c>
      <c r="J35" s="3">
        <f t="shared" si="2"/>
        <v>5</v>
      </c>
      <c r="M35" s="21" t="s">
        <v>26</v>
      </c>
      <c r="N35" s="3">
        <f>COUNTIF($J$5:$J$92,'Reference Data'!B22)</f>
        <v>18</v>
      </c>
      <c r="O35" s="7">
        <f>SUMIF($J$5:$J$92,'Reference Data'!B22,$I$5:$I$92)</f>
        <v>2530.0000000000005</v>
      </c>
      <c r="P35" s="8">
        <f t="shared" ref="P35:P38" si="3">O35/N35</f>
        <v>140.55555555555557</v>
      </c>
    </row>
    <row r="36" spans="2:16" ht="20.149999999999999" customHeight="1" x14ac:dyDescent="0.3">
      <c r="B36" s="5">
        <v>44764</v>
      </c>
      <c r="C36" s="6" t="s">
        <v>7</v>
      </c>
      <c r="D36" s="10" t="s">
        <v>9</v>
      </c>
      <c r="E36" s="7">
        <v>1016.36</v>
      </c>
      <c r="F36" s="8">
        <v>1108.25</v>
      </c>
      <c r="G36" s="9">
        <f t="shared" si="0"/>
        <v>9.0410878035341799E-2</v>
      </c>
      <c r="H36" s="14" t="str" cm="1">
        <f t="array" ref="H36">IFERROR(_xlfn.IFS(AND(G36&gt;12%,G36&lt;20%),0.5%,G36&gt;20%,1.5%,G36&lt;12%,"")*F36,"")</f>
        <v/>
      </c>
      <c r="I36" s="8">
        <f t="shared" si="1"/>
        <v>91.889999999999986</v>
      </c>
      <c r="J36" s="3">
        <f t="shared" si="2"/>
        <v>5</v>
      </c>
      <c r="M36" s="21" t="s">
        <v>27</v>
      </c>
      <c r="N36" s="3">
        <f>COUNTIF($J$5:$J$92,'Reference Data'!B23)</f>
        <v>18</v>
      </c>
      <c r="O36" s="7">
        <f>SUMIF($J$5:$J$92,'Reference Data'!B23,$I$5:$I$92)</f>
        <v>2035.6999999999998</v>
      </c>
      <c r="P36" s="8">
        <f t="shared" si="3"/>
        <v>113.09444444444443</v>
      </c>
    </row>
    <row r="37" spans="2:16" ht="20.149999999999999" customHeight="1" x14ac:dyDescent="0.3">
      <c r="B37" s="5">
        <v>44767</v>
      </c>
      <c r="C37" s="6" t="s">
        <v>6</v>
      </c>
      <c r="D37" s="10" t="s">
        <v>9</v>
      </c>
      <c r="E37" s="7">
        <v>1576.91</v>
      </c>
      <c r="F37" s="8">
        <v>1683</v>
      </c>
      <c r="G37" s="9">
        <f t="shared" ref="G37:G68" si="4">(F37-E37)/E37</f>
        <v>6.7277143273870993E-2</v>
      </c>
      <c r="H37" s="14" t="str" cm="1">
        <f t="array" ref="H37">IFERROR(_xlfn.IFS(AND(G37&gt;12%,G37&lt;20%),0.5%,G37&gt;20%,1.5%,G37&lt;12%,"")*F37,"")</f>
        <v/>
      </c>
      <c r="I37" s="8">
        <f t="shared" ref="I37:I68" si="5">F37-E37</f>
        <v>106.08999999999992</v>
      </c>
      <c r="J37" s="3">
        <f t="shared" si="2"/>
        <v>1</v>
      </c>
      <c r="M37" s="21" t="s">
        <v>28</v>
      </c>
      <c r="N37" s="3">
        <f>COUNTIF($J$5:$J$92,'Reference Data'!B24)</f>
        <v>16</v>
      </c>
      <c r="O37" s="7">
        <f>SUMIF($J$5:$J$92,'Reference Data'!B24,$I$5:$I$92)</f>
        <v>1808.9799999999998</v>
      </c>
      <c r="P37" s="8">
        <f t="shared" si="3"/>
        <v>113.06124999999999</v>
      </c>
    </row>
    <row r="38" spans="2:16" ht="20.149999999999999" customHeight="1" x14ac:dyDescent="0.3">
      <c r="B38" s="5">
        <v>44767</v>
      </c>
      <c r="C38" s="6" t="s">
        <v>7</v>
      </c>
      <c r="D38" s="10" t="s">
        <v>10</v>
      </c>
      <c r="E38" s="7">
        <v>870.02</v>
      </c>
      <c r="F38" s="8">
        <v>997</v>
      </c>
      <c r="G38" s="9">
        <f t="shared" si="4"/>
        <v>0.14595066780074023</v>
      </c>
      <c r="H38" s="14" cm="1">
        <f t="array" ref="H38">IFERROR(_xlfn.IFS(AND(G38&gt;12%,G38&lt;20%),0.5%,G38&gt;20%,1.5%,G38&lt;12%,"")*F38,"")</f>
        <v>4.9850000000000003</v>
      </c>
      <c r="I38" s="8">
        <f t="shared" si="5"/>
        <v>126.98000000000002</v>
      </c>
      <c r="J38" s="3">
        <f t="shared" si="2"/>
        <v>1</v>
      </c>
      <c r="M38" s="21" t="s">
        <v>29</v>
      </c>
      <c r="N38" s="3">
        <f>COUNTIF($J$5:$J$92,'Reference Data'!B25)</f>
        <v>18</v>
      </c>
      <c r="O38" s="7">
        <f>SUMIF($J$5:$J$92,'Reference Data'!B25,$I$5:$I$92)</f>
        <v>2281.0900000000011</v>
      </c>
      <c r="P38" s="8">
        <f t="shared" si="3"/>
        <v>126.72722222222228</v>
      </c>
    </row>
    <row r="39" spans="2:16" ht="20.149999999999999" customHeight="1" x14ac:dyDescent="0.3">
      <c r="B39" s="5">
        <v>44768</v>
      </c>
      <c r="C39" s="6" t="s">
        <v>6</v>
      </c>
      <c r="D39" s="10" t="s">
        <v>10</v>
      </c>
      <c r="E39" s="7">
        <v>1145.26</v>
      </c>
      <c r="F39" s="8">
        <v>1344.25</v>
      </c>
      <c r="G39" s="9">
        <f t="shared" si="4"/>
        <v>0.17375093865148525</v>
      </c>
      <c r="H39" s="14" cm="1">
        <f t="array" ref="H39">IFERROR(_xlfn.IFS(AND(G39&gt;12%,G39&lt;20%),0.5%,G39&gt;20%,1.5%,G39&lt;12%,"")*F39,"")</f>
        <v>6.7212500000000004</v>
      </c>
      <c r="I39" s="8">
        <f t="shared" si="5"/>
        <v>198.99</v>
      </c>
      <c r="J39" s="3">
        <f t="shared" si="2"/>
        <v>2</v>
      </c>
    </row>
    <row r="40" spans="2:16" ht="20.149999999999999" customHeight="1" x14ac:dyDescent="0.3">
      <c r="B40" s="5">
        <v>44768</v>
      </c>
      <c r="C40" s="6" t="s">
        <v>7</v>
      </c>
      <c r="D40" s="10" t="s">
        <v>9</v>
      </c>
      <c r="E40" s="7">
        <v>1313.05</v>
      </c>
      <c r="F40" s="8">
        <v>1504</v>
      </c>
      <c r="G40" s="9">
        <f t="shared" si="4"/>
        <v>0.14542477438025975</v>
      </c>
      <c r="H40" s="14" cm="1">
        <f t="array" ref="H40">IFERROR(_xlfn.IFS(AND(G40&gt;12%,G40&lt;20%),0.5%,G40&gt;20%,1.5%,G40&lt;12%,"")*F40,"")</f>
        <v>7.5200000000000005</v>
      </c>
      <c r="I40" s="8">
        <f t="shared" si="5"/>
        <v>190.95000000000005</v>
      </c>
      <c r="J40" s="3">
        <f t="shared" si="2"/>
        <v>2</v>
      </c>
      <c r="M40" s="26" t="s">
        <v>35</v>
      </c>
    </row>
    <row r="41" spans="2:16" ht="20.149999999999999" customHeight="1" x14ac:dyDescent="0.3">
      <c r="B41" s="5">
        <v>44769</v>
      </c>
      <c r="C41" s="6" t="s">
        <v>6</v>
      </c>
      <c r="D41" s="10" t="s">
        <v>9</v>
      </c>
      <c r="E41" s="7">
        <v>833.49</v>
      </c>
      <c r="F41" s="8">
        <v>906.5</v>
      </c>
      <c r="G41" s="9">
        <f t="shared" si="4"/>
        <v>8.759553203997647E-2</v>
      </c>
      <c r="H41" s="14" t="str" cm="1">
        <f t="array" ref="H41">IFERROR(_xlfn.IFS(AND(G41&gt;12%,G41&lt;20%),0.5%,G41&gt;20%,1.5%,G41&lt;12%,"")*F41,"")</f>
        <v/>
      </c>
      <c r="I41" s="8">
        <f t="shared" si="5"/>
        <v>73.009999999999991</v>
      </c>
      <c r="J41" s="3">
        <f t="shared" si="2"/>
        <v>3</v>
      </c>
    </row>
    <row r="42" spans="2:16" ht="20.149999999999999" customHeight="1" x14ac:dyDescent="0.3">
      <c r="B42" s="5">
        <v>44769</v>
      </c>
      <c r="C42" s="6" t="s">
        <v>7</v>
      </c>
      <c r="D42" s="10" t="s">
        <v>10</v>
      </c>
      <c r="E42" s="7">
        <v>1578.85</v>
      </c>
      <c r="F42" s="8">
        <v>1711.75</v>
      </c>
      <c r="G42" s="9">
        <f t="shared" si="4"/>
        <v>8.4175190803432942E-2</v>
      </c>
      <c r="H42" s="14" t="str" cm="1">
        <f t="array" ref="H42">IFERROR(_xlfn.IFS(AND(G42&gt;12%,G42&lt;20%),0.5%,G42&gt;20%,1.5%,G42&lt;12%,"")*F42,"")</f>
        <v/>
      </c>
      <c r="I42" s="8">
        <f t="shared" si="5"/>
        <v>132.90000000000009</v>
      </c>
      <c r="J42" s="3">
        <f t="shared" si="2"/>
        <v>3</v>
      </c>
      <c r="L42" s="18" t="s">
        <v>36</v>
      </c>
    </row>
    <row r="43" spans="2:16" ht="20.149999999999999" customHeight="1" x14ac:dyDescent="0.3">
      <c r="B43" s="5">
        <v>44770</v>
      </c>
      <c r="C43" s="6" t="s">
        <v>6</v>
      </c>
      <c r="D43" s="10" t="s">
        <v>10</v>
      </c>
      <c r="E43" s="7">
        <v>1314.78</v>
      </c>
      <c r="F43" s="8">
        <v>1371.75</v>
      </c>
      <c r="G43" s="9">
        <f t="shared" si="4"/>
        <v>4.3330443115958586E-2</v>
      </c>
      <c r="H43" s="14" t="str" cm="1">
        <f t="array" ref="H43">IFERROR(_xlfn.IFS(AND(G43&gt;12%,G43&lt;20%),0.5%,G43&gt;20%,1.5%,G43&lt;12%,"")*F43,"")</f>
        <v/>
      </c>
      <c r="I43" s="8">
        <f t="shared" si="5"/>
        <v>56.970000000000027</v>
      </c>
      <c r="J43" s="3">
        <f t="shared" si="2"/>
        <v>4</v>
      </c>
    </row>
    <row r="44" spans="2:16" ht="20.149999999999999" customHeight="1" x14ac:dyDescent="0.3">
      <c r="B44" s="5">
        <v>44770</v>
      </c>
      <c r="C44" s="6" t="s">
        <v>7</v>
      </c>
      <c r="D44" s="10" t="s">
        <v>9</v>
      </c>
      <c r="E44" s="7">
        <v>972.81</v>
      </c>
      <c r="F44" s="8">
        <v>1139.75</v>
      </c>
      <c r="G44" s="9">
        <f t="shared" si="4"/>
        <v>0.1716059662215644</v>
      </c>
      <c r="H44" s="14" cm="1">
        <f t="array" ref="H44">IFERROR(_xlfn.IFS(AND(G44&gt;12%,G44&lt;20%),0.5%,G44&gt;20%,1.5%,G44&lt;12%,"")*F44,"")</f>
        <v>5.6987500000000004</v>
      </c>
      <c r="I44" s="8">
        <f t="shared" si="5"/>
        <v>166.94000000000005</v>
      </c>
      <c r="J44" s="3">
        <f t="shared" si="2"/>
        <v>4</v>
      </c>
      <c r="M44" s="27" t="s">
        <v>9</v>
      </c>
      <c r="N44" s="27" t="s">
        <v>21</v>
      </c>
      <c r="O44" s="27" t="s">
        <v>33</v>
      </c>
      <c r="P44" s="27" t="s">
        <v>34</v>
      </c>
    </row>
    <row r="45" spans="2:16" ht="20.149999999999999" customHeight="1" x14ac:dyDescent="0.3">
      <c r="B45" s="5">
        <v>44771</v>
      </c>
      <c r="C45" s="6" t="s">
        <v>6</v>
      </c>
      <c r="D45" s="10" t="s">
        <v>9</v>
      </c>
      <c r="E45" s="7">
        <v>1551.16</v>
      </c>
      <c r="F45" s="8">
        <v>1721.25</v>
      </c>
      <c r="G45" s="9">
        <f t="shared" si="4"/>
        <v>0.10965342066582423</v>
      </c>
      <c r="H45" s="14" t="str" cm="1">
        <f t="array" ref="H45">IFERROR(_xlfn.IFS(AND(G45&gt;12%,G45&lt;20%),0.5%,G45&gt;20%,1.5%,G45&lt;12%,"")*F45,"")</f>
        <v/>
      </c>
      <c r="I45" s="8">
        <f t="shared" si="5"/>
        <v>170.08999999999992</v>
      </c>
      <c r="J45" s="3">
        <f t="shared" si="2"/>
        <v>5</v>
      </c>
      <c r="M45" s="21" t="s">
        <v>25</v>
      </c>
      <c r="N45" s="3" cm="1">
        <f t="array" ref="N45">SUMPRODUCT(--(WEEKDAY($B$5:$B$92,11)='Reference Data'!B21))</f>
        <v>18</v>
      </c>
      <c r="O45" s="7" cm="1">
        <f t="array" ref="O45">SUMPRODUCT((WEEKDAY($B$5:$B$92,11)='Reference Data'!B21)*($F$5:$F$92-$E$5:$E$92))</f>
        <v>2329.54</v>
      </c>
      <c r="P45" s="8">
        <f>O45/N45</f>
        <v>129.41888888888889</v>
      </c>
    </row>
    <row r="46" spans="2:16" ht="20.149999999999999" customHeight="1" x14ac:dyDescent="0.3">
      <c r="B46" s="5">
        <v>44771</v>
      </c>
      <c r="C46" s="6" t="s">
        <v>7</v>
      </c>
      <c r="D46" s="10" t="s">
        <v>10</v>
      </c>
      <c r="E46" s="7">
        <v>1366.59</v>
      </c>
      <c r="F46" s="8">
        <v>1418.5</v>
      </c>
      <c r="G46" s="9">
        <f t="shared" si="4"/>
        <v>3.7985057698358748E-2</v>
      </c>
      <c r="H46" s="14" t="str" cm="1">
        <f t="array" ref="H46">IFERROR(_xlfn.IFS(AND(G46&gt;12%,G46&lt;20%),0.5%,G46&gt;20%,1.5%,G46&lt;12%,"")*F46,"")</f>
        <v/>
      </c>
      <c r="I46" s="8">
        <f t="shared" si="5"/>
        <v>51.910000000000082</v>
      </c>
      <c r="J46" s="3">
        <f t="shared" si="2"/>
        <v>5</v>
      </c>
      <c r="M46" s="21" t="s">
        <v>26</v>
      </c>
      <c r="N46" s="3" cm="1">
        <f t="array" ref="N46">SUMPRODUCT(--(WEEKDAY($B$5:$B$92,11)='Reference Data'!B22))</f>
        <v>18</v>
      </c>
      <c r="O46" s="7" cm="1">
        <f t="array" ref="O46">SUMPRODUCT((WEEKDAY($B$5:$B$92,11)='Reference Data'!B22)*($F$5:$F$92-$E$5:$E$92))</f>
        <v>2530.0000000000005</v>
      </c>
      <c r="P46" s="8">
        <f t="shared" ref="P46:P49" si="6">O46/N46</f>
        <v>140.55555555555557</v>
      </c>
    </row>
    <row r="47" spans="2:16" ht="20.149999999999999" customHeight="1" x14ac:dyDescent="0.3">
      <c r="B47" s="5">
        <v>44774</v>
      </c>
      <c r="C47" s="6" t="s">
        <v>6</v>
      </c>
      <c r="D47" s="10" t="s">
        <v>10</v>
      </c>
      <c r="E47" s="7">
        <v>1466.66</v>
      </c>
      <c r="F47" s="8">
        <v>1624.75</v>
      </c>
      <c r="G47" s="9">
        <f t="shared" si="4"/>
        <v>0.10778912631421046</v>
      </c>
      <c r="H47" s="14" t="str" cm="1">
        <f t="array" ref="H47">IFERROR(_xlfn.IFS(AND(G47&gt;12%,G47&lt;20%),0.5%,G47&gt;20%,1.5%,G47&lt;12%,"")*F47,"")</f>
        <v/>
      </c>
      <c r="I47" s="8">
        <f t="shared" si="5"/>
        <v>158.08999999999992</v>
      </c>
      <c r="J47" s="3">
        <f t="shared" si="2"/>
        <v>1</v>
      </c>
      <c r="M47" s="21" t="s">
        <v>27</v>
      </c>
      <c r="N47" s="3" cm="1">
        <f t="array" ref="N47">SUMPRODUCT(--(WEEKDAY($B$5:$B$92,11)='Reference Data'!B23))</f>
        <v>18</v>
      </c>
      <c r="O47" s="7" cm="1">
        <f t="array" ref="O47">SUMPRODUCT((WEEKDAY($B$5:$B$92,11)='Reference Data'!B23)*($F$5:$F$92-$E$5:$E$92))</f>
        <v>2035.6999999999998</v>
      </c>
      <c r="P47" s="8">
        <f t="shared" si="6"/>
        <v>113.09444444444443</v>
      </c>
    </row>
    <row r="48" spans="2:16" ht="20.149999999999999" customHeight="1" x14ac:dyDescent="0.3">
      <c r="B48" s="5">
        <v>44774</v>
      </c>
      <c r="C48" s="6" t="s">
        <v>7</v>
      </c>
      <c r="D48" s="10" t="s">
        <v>9</v>
      </c>
      <c r="E48" s="7">
        <v>1594.15</v>
      </c>
      <c r="F48" s="8">
        <v>1682.25</v>
      </c>
      <c r="G48" s="9">
        <f t="shared" si="4"/>
        <v>5.5264561051343919E-2</v>
      </c>
      <c r="H48" s="14" t="str" cm="1">
        <f t="array" ref="H48">IFERROR(_xlfn.IFS(AND(G48&gt;12%,G48&lt;20%),0.5%,G48&gt;20%,1.5%,G48&lt;12%,"")*F48,"")</f>
        <v/>
      </c>
      <c r="I48" s="8">
        <f t="shared" si="5"/>
        <v>88.099999999999909</v>
      </c>
      <c r="J48" s="3">
        <f t="shared" si="2"/>
        <v>1</v>
      </c>
      <c r="M48" s="21" t="s">
        <v>28</v>
      </c>
      <c r="N48" s="3" cm="1">
        <f t="array" ref="N48">SUMPRODUCT(--(WEEKDAY($B$5:$B$92,11)='Reference Data'!B24))</f>
        <v>16</v>
      </c>
      <c r="O48" s="7" cm="1">
        <f t="array" ref="O48">SUMPRODUCT((WEEKDAY($B$5:$B$92,11)='Reference Data'!B24)*($F$5:$F$92-$E$5:$E$92))</f>
        <v>1808.9799999999998</v>
      </c>
      <c r="P48" s="8">
        <f t="shared" si="6"/>
        <v>113.06124999999999</v>
      </c>
    </row>
    <row r="49" spans="2:16" ht="20.149999999999999" customHeight="1" x14ac:dyDescent="0.3">
      <c r="B49" s="5">
        <v>44775</v>
      </c>
      <c r="C49" s="6" t="s">
        <v>6</v>
      </c>
      <c r="D49" s="10" t="s">
        <v>10</v>
      </c>
      <c r="E49" s="7">
        <v>1580.98</v>
      </c>
      <c r="F49" s="8">
        <v>1679</v>
      </c>
      <c r="G49" s="9">
        <f t="shared" si="4"/>
        <v>6.1999519285506448E-2</v>
      </c>
      <c r="H49" s="14" t="str" cm="1">
        <f t="array" ref="H49">IFERROR(_xlfn.IFS(AND(G49&gt;12%,G49&lt;20%),0.5%,G49&gt;20%,1.5%,G49&lt;12%,"")*F49,"")</f>
        <v/>
      </c>
      <c r="I49" s="8">
        <f t="shared" si="5"/>
        <v>98.019999999999982</v>
      </c>
      <c r="J49" s="3">
        <f t="shared" si="2"/>
        <v>2</v>
      </c>
      <c r="M49" s="21" t="s">
        <v>29</v>
      </c>
      <c r="N49" s="3" cm="1">
        <f t="array" ref="N49">SUMPRODUCT(--(WEEKDAY($B$5:$B$92,11)='Reference Data'!B25))</f>
        <v>18</v>
      </c>
      <c r="O49" s="7" cm="1">
        <f t="array" ref="O49">SUMPRODUCT((WEEKDAY($B$5:$B$92,11)='Reference Data'!B25)*($F$5:$F$92-$E$5:$E$92))</f>
        <v>2281.0900000000011</v>
      </c>
      <c r="P49" s="8">
        <f t="shared" si="6"/>
        <v>126.72722222222228</v>
      </c>
    </row>
    <row r="50" spans="2:16" ht="20.149999999999999" customHeight="1" x14ac:dyDescent="0.3">
      <c r="B50" s="5">
        <v>44775</v>
      </c>
      <c r="C50" s="6" t="s">
        <v>7</v>
      </c>
      <c r="D50" s="10" t="s">
        <v>9</v>
      </c>
      <c r="E50" s="7">
        <v>916.97</v>
      </c>
      <c r="F50" s="8">
        <v>1025</v>
      </c>
      <c r="G50" s="9">
        <f t="shared" si="4"/>
        <v>0.11781192405422203</v>
      </c>
      <c r="H50" s="14" t="str" cm="1">
        <f t="array" ref="H50">IFERROR(_xlfn.IFS(AND(G50&gt;12%,G50&lt;20%),0.5%,G50&gt;20%,1.5%,G50&lt;12%,"")*F50,"")</f>
        <v/>
      </c>
      <c r="I50" s="8">
        <f t="shared" si="5"/>
        <v>108.02999999999997</v>
      </c>
      <c r="J50" s="3">
        <f t="shared" si="2"/>
        <v>2</v>
      </c>
    </row>
    <row r="51" spans="2:16" ht="20.149999999999999" customHeight="1" x14ac:dyDescent="0.3">
      <c r="B51" s="5">
        <v>44776</v>
      </c>
      <c r="C51" s="6" t="s">
        <v>6</v>
      </c>
      <c r="D51" s="10" t="s">
        <v>10</v>
      </c>
      <c r="E51" s="7">
        <v>726.12</v>
      </c>
      <c r="F51" s="8">
        <v>838</v>
      </c>
      <c r="G51" s="9">
        <f t="shared" si="4"/>
        <v>0.1540792155566573</v>
      </c>
      <c r="H51" s="14" cm="1">
        <f t="array" ref="H51">IFERROR(_xlfn.IFS(AND(G51&gt;12%,G51&lt;20%),0.5%,G51&gt;20%,1.5%,G51&lt;12%,"")*F51,"")</f>
        <v>4.1900000000000004</v>
      </c>
      <c r="I51" s="8">
        <f t="shared" si="5"/>
        <v>111.88</v>
      </c>
      <c r="J51" s="3">
        <f t="shared" si="2"/>
        <v>3</v>
      </c>
    </row>
    <row r="52" spans="2:16" ht="20.149999999999999" customHeight="1" x14ac:dyDescent="0.3">
      <c r="B52" s="5">
        <v>44776</v>
      </c>
      <c r="C52" s="6" t="s">
        <v>7</v>
      </c>
      <c r="D52" s="10" t="s">
        <v>9</v>
      </c>
      <c r="E52" s="7">
        <v>1461.44</v>
      </c>
      <c r="F52" s="8">
        <v>1599.5</v>
      </c>
      <c r="G52" s="9">
        <f t="shared" si="4"/>
        <v>9.4468469454784279E-2</v>
      </c>
      <c r="H52" s="14" t="str" cm="1">
        <f t="array" ref="H52">IFERROR(_xlfn.IFS(AND(G52&gt;12%,G52&lt;20%),0.5%,G52&gt;20%,1.5%,G52&lt;12%,"")*F52,"")</f>
        <v/>
      </c>
      <c r="I52" s="8">
        <f t="shared" si="5"/>
        <v>138.05999999999995</v>
      </c>
      <c r="J52" s="3">
        <f t="shared" si="2"/>
        <v>3</v>
      </c>
    </row>
    <row r="53" spans="2:16" ht="20.149999999999999" customHeight="1" x14ac:dyDescent="0.3">
      <c r="B53" s="5">
        <v>44777</v>
      </c>
      <c r="C53" s="6" t="s">
        <v>6</v>
      </c>
      <c r="D53" s="10" t="s">
        <v>9</v>
      </c>
      <c r="E53" s="7">
        <v>1176.26</v>
      </c>
      <c r="F53" s="8">
        <v>1263.25</v>
      </c>
      <c r="G53" s="9">
        <f t="shared" si="4"/>
        <v>7.3954737898083767E-2</v>
      </c>
      <c r="H53" s="14" t="str" cm="1">
        <f t="array" ref="H53">IFERROR(_xlfn.IFS(AND(G53&gt;12%,G53&lt;20%),0.5%,G53&gt;20%,1.5%,G53&lt;12%,"")*F53,"")</f>
        <v/>
      </c>
      <c r="I53" s="8">
        <f t="shared" si="5"/>
        <v>86.990000000000009</v>
      </c>
      <c r="J53" s="3">
        <f t="shared" si="2"/>
        <v>4</v>
      </c>
    </row>
    <row r="54" spans="2:16" ht="20.149999999999999" customHeight="1" x14ac:dyDescent="0.3">
      <c r="B54" s="5">
        <v>44777</v>
      </c>
      <c r="C54" s="6" t="s">
        <v>7</v>
      </c>
      <c r="D54" s="10" t="s">
        <v>10</v>
      </c>
      <c r="E54" s="7">
        <v>825.12</v>
      </c>
      <c r="F54" s="8">
        <v>1004</v>
      </c>
      <c r="G54" s="9">
        <f t="shared" si="4"/>
        <v>0.2167927089393058</v>
      </c>
      <c r="H54" s="14" cm="1">
        <f t="array" ref="H54">IFERROR(_xlfn.IFS(AND(G54&gt;12%,G54&lt;20%),0.5%,G54&gt;20%,1.5%,G54&lt;12%,"")*F54,"")</f>
        <v>15.059999999999999</v>
      </c>
      <c r="I54" s="8">
        <f t="shared" si="5"/>
        <v>178.88</v>
      </c>
      <c r="J54" s="3">
        <f t="shared" si="2"/>
        <v>4</v>
      </c>
    </row>
    <row r="55" spans="2:16" ht="20.149999999999999" customHeight="1" x14ac:dyDescent="0.3">
      <c r="B55" s="5">
        <v>44778</v>
      </c>
      <c r="C55" s="6" t="s">
        <v>6</v>
      </c>
      <c r="D55" s="10" t="s">
        <v>10</v>
      </c>
      <c r="E55" s="7">
        <v>1034.97</v>
      </c>
      <c r="F55" s="8">
        <v>1091</v>
      </c>
      <c r="G55" s="9">
        <f t="shared" si="4"/>
        <v>5.413683488410289E-2</v>
      </c>
      <c r="H55" s="14" t="str" cm="1">
        <f t="array" ref="H55">IFERROR(_xlfn.IFS(AND(G55&gt;12%,G55&lt;20%),0.5%,G55&gt;20%,1.5%,G55&lt;12%,"")*F55,"")</f>
        <v/>
      </c>
      <c r="I55" s="8">
        <f t="shared" si="5"/>
        <v>56.029999999999973</v>
      </c>
      <c r="J55" s="3">
        <f t="shared" si="2"/>
        <v>5</v>
      </c>
    </row>
    <row r="56" spans="2:16" ht="20.149999999999999" customHeight="1" x14ac:dyDescent="0.3">
      <c r="B56" s="5">
        <v>44778</v>
      </c>
      <c r="C56" s="6" t="s">
        <v>7</v>
      </c>
      <c r="D56" s="10" t="s">
        <v>9</v>
      </c>
      <c r="E56" s="7">
        <v>939.94</v>
      </c>
      <c r="F56" s="8">
        <v>1045</v>
      </c>
      <c r="G56" s="9">
        <f t="shared" si="4"/>
        <v>0.11177309189948288</v>
      </c>
      <c r="H56" s="14" t="str" cm="1">
        <f t="array" ref="H56">IFERROR(_xlfn.IFS(AND(G56&gt;12%,G56&lt;20%),0.5%,G56&gt;20%,1.5%,G56&lt;12%,"")*F56,"")</f>
        <v/>
      </c>
      <c r="I56" s="8">
        <f t="shared" si="5"/>
        <v>105.05999999999995</v>
      </c>
      <c r="J56" s="3">
        <f t="shared" si="2"/>
        <v>5</v>
      </c>
    </row>
    <row r="57" spans="2:16" ht="20.149999999999999" customHeight="1" x14ac:dyDescent="0.3">
      <c r="B57" s="5">
        <v>44781</v>
      </c>
      <c r="C57" s="6" t="s">
        <v>6</v>
      </c>
      <c r="D57" s="10" t="s">
        <v>9</v>
      </c>
      <c r="E57" s="7">
        <v>1429.63</v>
      </c>
      <c r="F57" s="8">
        <v>1570.75</v>
      </c>
      <c r="G57" s="9">
        <f t="shared" si="4"/>
        <v>9.8710855256255031E-2</v>
      </c>
      <c r="H57" s="14" t="str" cm="1">
        <f t="array" ref="H57">IFERROR(_xlfn.IFS(AND(G57&gt;12%,G57&lt;20%),0.5%,G57&gt;20%,1.5%,G57&lt;12%,"")*F57,"")</f>
        <v/>
      </c>
      <c r="I57" s="8">
        <f t="shared" si="5"/>
        <v>141.11999999999989</v>
      </c>
      <c r="J57" s="3">
        <f t="shared" si="2"/>
        <v>1</v>
      </c>
    </row>
    <row r="58" spans="2:16" ht="20.149999999999999" customHeight="1" x14ac:dyDescent="0.3">
      <c r="B58" s="5">
        <v>44781</v>
      </c>
      <c r="C58" s="6" t="s">
        <v>7</v>
      </c>
      <c r="D58" s="10" t="s">
        <v>10</v>
      </c>
      <c r="E58" s="7">
        <v>1009.06</v>
      </c>
      <c r="F58" s="8">
        <v>1189</v>
      </c>
      <c r="G58" s="9">
        <f t="shared" si="4"/>
        <v>0.17832438110716911</v>
      </c>
      <c r="H58" s="14" cm="1">
        <f t="array" ref="H58">IFERROR(_xlfn.IFS(AND(G58&gt;12%,G58&lt;20%),0.5%,G58&gt;20%,1.5%,G58&lt;12%,"")*F58,"")</f>
        <v>5.9450000000000003</v>
      </c>
      <c r="I58" s="8">
        <f t="shared" si="5"/>
        <v>179.94000000000005</v>
      </c>
      <c r="J58" s="3">
        <f t="shared" si="2"/>
        <v>1</v>
      </c>
    </row>
    <row r="59" spans="2:16" ht="20.149999999999999" customHeight="1" x14ac:dyDescent="0.3">
      <c r="B59" s="5">
        <v>44782</v>
      </c>
      <c r="C59" s="6" t="s">
        <v>6</v>
      </c>
      <c r="D59" s="10" t="s">
        <v>10</v>
      </c>
      <c r="E59" s="7">
        <v>974.45</v>
      </c>
      <c r="F59" s="8">
        <v>1152.5</v>
      </c>
      <c r="G59" s="9">
        <f t="shared" si="4"/>
        <v>0.18271845656524188</v>
      </c>
      <c r="H59" s="14" cm="1">
        <f t="array" ref="H59">IFERROR(_xlfn.IFS(AND(G59&gt;12%,G59&lt;20%),0.5%,G59&gt;20%,1.5%,G59&lt;12%,"")*F59,"")</f>
        <v>5.7625000000000002</v>
      </c>
      <c r="I59" s="8">
        <f t="shared" si="5"/>
        <v>178.04999999999995</v>
      </c>
      <c r="J59" s="3">
        <f t="shared" si="2"/>
        <v>2</v>
      </c>
    </row>
    <row r="60" spans="2:16" ht="20.149999999999999" customHeight="1" x14ac:dyDescent="0.3">
      <c r="B60" s="5">
        <v>44782</v>
      </c>
      <c r="C60" s="6" t="s">
        <v>7</v>
      </c>
      <c r="D60" s="10" t="s">
        <v>9</v>
      </c>
      <c r="E60" s="7">
        <v>1511.87</v>
      </c>
      <c r="F60" s="8">
        <v>1688.75</v>
      </c>
      <c r="G60" s="9">
        <f t="shared" si="4"/>
        <v>0.11699418600805633</v>
      </c>
      <c r="H60" s="14" t="str" cm="1">
        <f t="array" ref="H60">IFERROR(_xlfn.IFS(AND(G60&gt;12%,G60&lt;20%),0.5%,G60&gt;20%,1.5%,G60&lt;12%,"")*F60,"")</f>
        <v/>
      </c>
      <c r="I60" s="8">
        <f t="shared" si="5"/>
        <v>176.88000000000011</v>
      </c>
      <c r="J60" s="3">
        <f t="shared" si="2"/>
        <v>2</v>
      </c>
    </row>
    <row r="61" spans="2:16" ht="20.149999999999999" customHeight="1" x14ac:dyDescent="0.3">
      <c r="B61" s="5">
        <v>44783</v>
      </c>
      <c r="C61" s="6" t="s">
        <v>6</v>
      </c>
      <c r="D61" s="10" t="s">
        <v>10</v>
      </c>
      <c r="E61" s="7">
        <v>1103.76</v>
      </c>
      <c r="F61" s="8">
        <v>1256.75</v>
      </c>
      <c r="G61" s="9">
        <f t="shared" si="4"/>
        <v>0.13860803073131842</v>
      </c>
      <c r="H61" s="14" cm="1">
        <f t="array" ref="H61">IFERROR(_xlfn.IFS(AND(G61&gt;12%,G61&lt;20%),0.5%,G61&gt;20%,1.5%,G61&lt;12%,"")*F61,"")</f>
        <v>6.2837500000000004</v>
      </c>
      <c r="I61" s="8">
        <f t="shared" si="5"/>
        <v>152.99</v>
      </c>
      <c r="J61" s="3">
        <f t="shared" si="2"/>
        <v>3</v>
      </c>
    </row>
    <row r="62" spans="2:16" ht="20.149999999999999" customHeight="1" x14ac:dyDescent="0.3">
      <c r="B62" s="5">
        <v>44783</v>
      </c>
      <c r="C62" s="6" t="s">
        <v>7</v>
      </c>
      <c r="D62" s="10" t="s">
        <v>9</v>
      </c>
      <c r="E62" s="7">
        <v>809.07</v>
      </c>
      <c r="F62" s="8">
        <v>930</v>
      </c>
      <c r="G62" s="9">
        <f t="shared" si="4"/>
        <v>0.149467907597612</v>
      </c>
      <c r="H62" s="14" cm="1">
        <f t="array" ref="H62">IFERROR(_xlfn.IFS(AND(G62&gt;12%,G62&lt;20%),0.5%,G62&gt;20%,1.5%,G62&lt;12%,"")*F62,"")</f>
        <v>4.6500000000000004</v>
      </c>
      <c r="I62" s="8">
        <f t="shared" si="5"/>
        <v>120.92999999999995</v>
      </c>
      <c r="J62" s="3">
        <f t="shared" si="2"/>
        <v>3</v>
      </c>
    </row>
    <row r="63" spans="2:16" ht="20.149999999999999" customHeight="1" x14ac:dyDescent="0.3">
      <c r="B63" s="5">
        <v>44784</v>
      </c>
      <c r="C63" s="6" t="s">
        <v>6</v>
      </c>
      <c r="D63" s="10" t="s">
        <v>10</v>
      </c>
      <c r="E63" s="7">
        <v>1438.4</v>
      </c>
      <c r="F63" s="8">
        <v>1560.5</v>
      </c>
      <c r="G63" s="9">
        <f t="shared" si="4"/>
        <v>8.4885984427141195E-2</v>
      </c>
      <c r="H63" s="14" t="str" cm="1">
        <f t="array" ref="H63">IFERROR(_xlfn.IFS(AND(G63&gt;12%,G63&lt;20%),0.5%,G63&gt;20%,1.5%,G63&lt;12%,"")*F63,"")</f>
        <v/>
      </c>
      <c r="I63" s="8">
        <f t="shared" si="5"/>
        <v>122.09999999999991</v>
      </c>
      <c r="J63" s="3">
        <f t="shared" si="2"/>
        <v>4</v>
      </c>
    </row>
    <row r="64" spans="2:16" ht="20.149999999999999" customHeight="1" x14ac:dyDescent="0.3">
      <c r="B64" s="5">
        <v>44784</v>
      </c>
      <c r="C64" s="6" t="s">
        <v>7</v>
      </c>
      <c r="D64" s="10" t="s">
        <v>9</v>
      </c>
      <c r="E64" s="7">
        <v>1472.96</v>
      </c>
      <c r="F64" s="8">
        <v>1637</v>
      </c>
      <c r="G64" s="9">
        <f t="shared" si="4"/>
        <v>0.11136758635672385</v>
      </c>
      <c r="H64" s="14" t="str" cm="1">
        <f t="array" ref="H64">IFERROR(_xlfn.IFS(AND(G64&gt;12%,G64&lt;20%),0.5%,G64&gt;20%,1.5%,G64&lt;12%,"")*F64,"")</f>
        <v/>
      </c>
      <c r="I64" s="8">
        <f t="shared" si="5"/>
        <v>164.03999999999996</v>
      </c>
      <c r="J64" s="3">
        <f t="shared" si="2"/>
        <v>4</v>
      </c>
    </row>
    <row r="65" spans="2:10" ht="20.149999999999999" customHeight="1" x14ac:dyDescent="0.3">
      <c r="B65" s="5">
        <v>44785</v>
      </c>
      <c r="C65" s="6" t="s">
        <v>6</v>
      </c>
      <c r="D65" s="10" t="s">
        <v>9</v>
      </c>
      <c r="E65" s="7">
        <v>1556.29</v>
      </c>
      <c r="F65" s="8">
        <v>1742.25</v>
      </c>
      <c r="G65" s="9">
        <f t="shared" si="4"/>
        <v>0.11948929826703251</v>
      </c>
      <c r="H65" s="14" t="str" cm="1">
        <f t="array" ref="H65">IFERROR(_xlfn.IFS(AND(G65&gt;12%,G65&lt;20%),0.5%,G65&gt;20%,1.5%,G65&lt;12%,"")*F65,"")</f>
        <v/>
      </c>
      <c r="I65" s="8">
        <f t="shared" si="5"/>
        <v>185.96000000000004</v>
      </c>
      <c r="J65" s="3">
        <f t="shared" si="2"/>
        <v>5</v>
      </c>
    </row>
    <row r="66" spans="2:10" ht="20.149999999999999" customHeight="1" x14ac:dyDescent="0.3">
      <c r="B66" s="5">
        <v>44785</v>
      </c>
      <c r="C66" s="6" t="s">
        <v>7</v>
      </c>
      <c r="D66" s="10" t="s">
        <v>10</v>
      </c>
      <c r="E66" s="7">
        <v>960.13</v>
      </c>
      <c r="F66" s="8">
        <v>1088.25</v>
      </c>
      <c r="G66" s="9">
        <f t="shared" si="4"/>
        <v>0.13344026329767844</v>
      </c>
      <c r="H66" s="14" cm="1">
        <f t="array" ref="H66">IFERROR(_xlfn.IFS(AND(G66&gt;12%,G66&lt;20%),0.5%,G66&gt;20%,1.5%,G66&lt;12%,"")*F66,"")</f>
        <v>5.4412500000000001</v>
      </c>
      <c r="I66" s="8">
        <f t="shared" si="5"/>
        <v>128.12</v>
      </c>
      <c r="J66" s="3">
        <f t="shared" si="2"/>
        <v>5</v>
      </c>
    </row>
    <row r="67" spans="2:10" ht="20.149999999999999" customHeight="1" x14ac:dyDescent="0.3">
      <c r="B67" s="5">
        <v>44788</v>
      </c>
      <c r="C67" s="6" t="s">
        <v>6</v>
      </c>
      <c r="D67" s="10" t="s">
        <v>10</v>
      </c>
      <c r="E67" s="7">
        <v>1520.43</v>
      </c>
      <c r="F67" s="8">
        <v>1594.5</v>
      </c>
      <c r="G67" s="9">
        <f t="shared" si="4"/>
        <v>4.8716481521674744E-2</v>
      </c>
      <c r="H67" s="14" t="str" cm="1">
        <f t="array" ref="H67">IFERROR(_xlfn.IFS(AND(G67&gt;12%,G67&lt;20%),0.5%,G67&gt;20%,1.5%,G67&lt;12%,"")*F67,"")</f>
        <v/>
      </c>
      <c r="I67" s="8">
        <f t="shared" si="5"/>
        <v>74.069999999999936</v>
      </c>
      <c r="J67" s="3">
        <f t="shared" si="2"/>
        <v>1</v>
      </c>
    </row>
    <row r="68" spans="2:10" ht="20.149999999999999" customHeight="1" x14ac:dyDescent="0.3">
      <c r="B68" s="5">
        <v>44788</v>
      </c>
      <c r="C68" s="6" t="s">
        <v>7</v>
      </c>
      <c r="D68" s="10" t="s">
        <v>9</v>
      </c>
      <c r="E68" s="7">
        <v>1195.05</v>
      </c>
      <c r="F68" s="8">
        <v>1263</v>
      </c>
      <c r="G68" s="9">
        <f t="shared" si="4"/>
        <v>5.6859545625706075E-2</v>
      </c>
      <c r="H68" s="14" t="str" cm="1">
        <f t="array" ref="H68">IFERROR(_xlfn.IFS(AND(G68&gt;12%,G68&lt;20%),0.5%,G68&gt;20%,1.5%,G68&lt;12%,"")*F68,"")</f>
        <v/>
      </c>
      <c r="I68" s="8">
        <f t="shared" si="5"/>
        <v>67.950000000000045</v>
      </c>
      <c r="J68" s="3">
        <f t="shared" si="2"/>
        <v>1</v>
      </c>
    </row>
    <row r="69" spans="2:10" ht="20.149999999999999" customHeight="1" x14ac:dyDescent="0.3">
      <c r="B69" s="5">
        <v>44789</v>
      </c>
      <c r="C69" s="6" t="s">
        <v>6</v>
      </c>
      <c r="D69" s="10" t="s">
        <v>10</v>
      </c>
      <c r="E69" s="7">
        <v>1357.83</v>
      </c>
      <c r="F69" s="8">
        <v>1518.75</v>
      </c>
      <c r="G69" s="9">
        <f t="shared" ref="G69:G92" si="7">(F69-E69)/E69</f>
        <v>0.11851262676476443</v>
      </c>
      <c r="H69" s="14" t="str" cm="1">
        <f t="array" ref="H69">IFERROR(_xlfn.IFS(AND(G69&gt;12%,G69&lt;20%),0.5%,G69&gt;20%,1.5%,G69&lt;12%,"")*F69,"")</f>
        <v/>
      </c>
      <c r="I69" s="8">
        <f t="shared" ref="I69:I92" si="8">F69-E69</f>
        <v>160.92000000000007</v>
      </c>
      <c r="J69" s="3">
        <f t="shared" si="2"/>
        <v>2</v>
      </c>
    </row>
    <row r="70" spans="2:10" ht="20.149999999999999" customHeight="1" x14ac:dyDescent="0.3">
      <c r="B70" s="5">
        <v>44789</v>
      </c>
      <c r="C70" s="6" t="s">
        <v>7</v>
      </c>
      <c r="D70" s="10" t="s">
        <v>9</v>
      </c>
      <c r="E70" s="7">
        <v>1440.38</v>
      </c>
      <c r="F70" s="8">
        <v>1498.5</v>
      </c>
      <c r="G70" s="9">
        <f t="shared" si="7"/>
        <v>4.0350463072244748E-2</v>
      </c>
      <c r="H70" s="14" t="str" cm="1">
        <f t="array" ref="H70">IFERROR(_xlfn.IFS(AND(G70&gt;12%,G70&lt;20%),0.5%,G70&gt;20%,1.5%,G70&lt;12%,"")*F70,"")</f>
        <v/>
      </c>
      <c r="I70" s="8">
        <f t="shared" si="8"/>
        <v>58.119999999999891</v>
      </c>
      <c r="J70" s="3">
        <f t="shared" ref="J70:J92" si="9">WEEKDAY(B70,11)</f>
        <v>2</v>
      </c>
    </row>
    <row r="71" spans="2:10" ht="20.149999999999999" customHeight="1" x14ac:dyDescent="0.3">
      <c r="B71" s="5">
        <v>44790</v>
      </c>
      <c r="C71" s="6" t="s">
        <v>6</v>
      </c>
      <c r="D71" s="10" t="s">
        <v>10</v>
      </c>
      <c r="E71" s="7">
        <v>801.34</v>
      </c>
      <c r="F71" s="8">
        <v>913.25</v>
      </c>
      <c r="G71" s="9">
        <f t="shared" si="7"/>
        <v>0.13965358025307606</v>
      </c>
      <c r="H71" s="14" cm="1">
        <f t="array" ref="H71">IFERROR(_xlfn.IFS(AND(G71&gt;12%,G71&lt;20%),0.5%,G71&gt;20%,1.5%,G71&lt;12%,"")*F71,"")</f>
        <v>4.5662500000000001</v>
      </c>
      <c r="I71" s="8">
        <f t="shared" si="8"/>
        <v>111.90999999999997</v>
      </c>
      <c r="J71" s="3">
        <f t="shared" si="9"/>
        <v>3</v>
      </c>
    </row>
    <row r="72" spans="2:10" ht="20.149999999999999" customHeight="1" x14ac:dyDescent="0.3">
      <c r="B72" s="5">
        <v>44790</v>
      </c>
      <c r="C72" s="6" t="s">
        <v>7</v>
      </c>
      <c r="D72" s="10" t="s">
        <v>9</v>
      </c>
      <c r="E72" s="7">
        <v>1001.99</v>
      </c>
      <c r="F72" s="8">
        <v>1097</v>
      </c>
      <c r="G72" s="9">
        <f t="shared" si="7"/>
        <v>9.4821305601852299E-2</v>
      </c>
      <c r="H72" s="14" t="str" cm="1">
        <f t="array" ref="H72">IFERROR(_xlfn.IFS(AND(G72&gt;12%,G72&lt;20%),0.5%,G72&gt;20%,1.5%,G72&lt;12%,"")*F72,"")</f>
        <v/>
      </c>
      <c r="I72" s="8">
        <f t="shared" si="8"/>
        <v>95.009999999999991</v>
      </c>
      <c r="J72" s="3">
        <f t="shared" si="9"/>
        <v>3</v>
      </c>
    </row>
    <row r="73" spans="2:10" ht="20.149999999999999" customHeight="1" x14ac:dyDescent="0.3">
      <c r="B73" s="5">
        <v>44791</v>
      </c>
      <c r="C73" s="6" t="s">
        <v>6</v>
      </c>
      <c r="D73" s="10" t="s">
        <v>9</v>
      </c>
      <c r="E73" s="7">
        <v>1121.8599999999999</v>
      </c>
      <c r="F73" s="8">
        <v>1191.75</v>
      </c>
      <c r="G73" s="9">
        <f t="shared" si="7"/>
        <v>6.2298325994330939E-2</v>
      </c>
      <c r="H73" s="14" t="str" cm="1">
        <f t="array" ref="H73">IFERROR(_xlfn.IFS(AND(G73&gt;12%,G73&lt;20%),0.5%,G73&gt;20%,1.5%,G73&lt;12%,"")*F73,"")</f>
        <v/>
      </c>
      <c r="I73" s="8">
        <f t="shared" si="8"/>
        <v>69.8900000000001</v>
      </c>
      <c r="J73" s="3">
        <f t="shared" si="9"/>
        <v>4</v>
      </c>
    </row>
    <row r="74" spans="2:10" ht="20.149999999999999" customHeight="1" x14ac:dyDescent="0.3">
      <c r="B74" s="5">
        <v>44791</v>
      </c>
      <c r="C74" s="6" t="s">
        <v>7</v>
      </c>
      <c r="D74" s="10" t="s">
        <v>10</v>
      </c>
      <c r="E74" s="7">
        <v>776.22</v>
      </c>
      <c r="F74" s="8">
        <v>961.25</v>
      </c>
      <c r="G74" s="9">
        <f t="shared" si="7"/>
        <v>0.2383731416351034</v>
      </c>
      <c r="H74" s="14" cm="1">
        <f t="array" ref="H74">IFERROR(_xlfn.IFS(AND(G74&gt;12%,G74&lt;20%),0.5%,G74&gt;20%,1.5%,G74&lt;12%,"")*F74,"")</f>
        <v>14.418749999999999</v>
      </c>
      <c r="I74" s="8">
        <f t="shared" si="8"/>
        <v>185.02999999999997</v>
      </c>
      <c r="J74" s="3">
        <f t="shared" si="9"/>
        <v>4</v>
      </c>
    </row>
    <row r="75" spans="2:10" ht="20.149999999999999" customHeight="1" x14ac:dyDescent="0.3">
      <c r="B75" s="5">
        <v>44792</v>
      </c>
      <c r="C75" s="6" t="s">
        <v>6</v>
      </c>
      <c r="D75" s="10" t="s">
        <v>10</v>
      </c>
      <c r="E75" s="7">
        <v>779.66</v>
      </c>
      <c r="F75" s="8">
        <v>900.75</v>
      </c>
      <c r="G75" s="9">
        <f t="shared" si="7"/>
        <v>0.15531128953646467</v>
      </c>
      <c r="H75" s="14" cm="1">
        <f t="array" ref="H75">IFERROR(_xlfn.IFS(AND(G75&gt;12%,G75&lt;20%),0.5%,G75&gt;20%,1.5%,G75&lt;12%,"")*F75,"")</f>
        <v>4.5037500000000001</v>
      </c>
      <c r="I75" s="8">
        <f t="shared" si="8"/>
        <v>121.09000000000003</v>
      </c>
      <c r="J75" s="3">
        <f t="shared" si="9"/>
        <v>5</v>
      </c>
    </row>
    <row r="76" spans="2:10" ht="20.149999999999999" customHeight="1" x14ac:dyDescent="0.3">
      <c r="B76" s="5">
        <v>44792</v>
      </c>
      <c r="C76" s="6" t="s">
        <v>7</v>
      </c>
      <c r="D76" s="10" t="s">
        <v>9</v>
      </c>
      <c r="E76" s="7">
        <v>850.14</v>
      </c>
      <c r="F76" s="8">
        <v>932.25</v>
      </c>
      <c r="G76" s="9">
        <f t="shared" si="7"/>
        <v>9.6584092031900645E-2</v>
      </c>
      <c r="H76" s="14" t="str" cm="1">
        <f t="array" ref="H76">IFERROR(_xlfn.IFS(AND(G76&gt;12%,G76&lt;20%),0.5%,G76&gt;20%,1.5%,G76&lt;12%,"")*F76,"")</f>
        <v/>
      </c>
      <c r="I76" s="8">
        <f t="shared" si="8"/>
        <v>82.110000000000014</v>
      </c>
      <c r="J76" s="3">
        <f t="shared" si="9"/>
        <v>5</v>
      </c>
    </row>
    <row r="77" spans="2:10" ht="20.149999999999999" customHeight="1" x14ac:dyDescent="0.3">
      <c r="B77" s="5">
        <v>44795</v>
      </c>
      <c r="C77" s="6" t="s">
        <v>6</v>
      </c>
      <c r="D77" s="10" t="s">
        <v>9</v>
      </c>
      <c r="E77" s="7">
        <v>896.25</v>
      </c>
      <c r="F77" s="8">
        <v>1008.25</v>
      </c>
      <c r="G77" s="9">
        <f t="shared" si="7"/>
        <v>0.12496513249651325</v>
      </c>
      <c r="H77" s="14" cm="1">
        <f t="array" ref="H77">IFERROR(_xlfn.IFS(AND(G77&gt;12%,G77&lt;20%),0.5%,G77&gt;20%,1.5%,G77&lt;12%,"")*F77,"")</f>
        <v>5.0412499999999998</v>
      </c>
      <c r="I77" s="8">
        <f t="shared" si="8"/>
        <v>112</v>
      </c>
      <c r="J77" s="3">
        <f t="shared" si="9"/>
        <v>1</v>
      </c>
    </row>
    <row r="78" spans="2:10" ht="20.149999999999999" customHeight="1" x14ac:dyDescent="0.3">
      <c r="B78" s="5">
        <v>44795</v>
      </c>
      <c r="C78" s="6" t="s">
        <v>7</v>
      </c>
      <c r="D78" s="10" t="s">
        <v>10</v>
      </c>
      <c r="E78" s="7">
        <v>1051</v>
      </c>
      <c r="F78" s="8">
        <v>1133</v>
      </c>
      <c r="G78" s="9">
        <f t="shared" si="7"/>
        <v>7.8020932445290195E-2</v>
      </c>
      <c r="H78" s="14" t="str" cm="1">
        <f t="array" ref="H78">IFERROR(_xlfn.IFS(AND(G78&gt;12%,G78&lt;20%),0.5%,G78&gt;20%,1.5%,G78&lt;12%,"")*F78,"")</f>
        <v/>
      </c>
      <c r="I78" s="8">
        <f t="shared" si="8"/>
        <v>82</v>
      </c>
      <c r="J78" s="3">
        <f t="shared" si="9"/>
        <v>1</v>
      </c>
    </row>
    <row r="79" spans="2:10" ht="20.149999999999999" customHeight="1" x14ac:dyDescent="0.3">
      <c r="B79" s="5">
        <v>44796</v>
      </c>
      <c r="C79" s="6" t="s">
        <v>6</v>
      </c>
      <c r="D79" s="10" t="s">
        <v>10</v>
      </c>
      <c r="E79" s="7">
        <v>1385.5</v>
      </c>
      <c r="F79" s="8">
        <v>1504.5</v>
      </c>
      <c r="G79" s="9">
        <f t="shared" si="7"/>
        <v>8.5889570552147243E-2</v>
      </c>
      <c r="H79" s="14" t="str" cm="1">
        <f t="array" ref="H79">IFERROR(_xlfn.IFS(AND(G79&gt;12%,G79&lt;20%),0.5%,G79&gt;20%,1.5%,G79&lt;12%,"")*F79,"")</f>
        <v/>
      </c>
      <c r="I79" s="8">
        <f t="shared" si="8"/>
        <v>119</v>
      </c>
      <c r="J79" s="3">
        <f t="shared" si="9"/>
        <v>2</v>
      </c>
    </row>
    <row r="80" spans="2:10" ht="20.149999999999999" customHeight="1" x14ac:dyDescent="0.3">
      <c r="B80" s="5">
        <v>44796</v>
      </c>
      <c r="C80" s="6" t="s">
        <v>7</v>
      </c>
      <c r="D80" s="10" t="s">
        <v>9</v>
      </c>
      <c r="E80" s="7">
        <v>1075.76</v>
      </c>
      <c r="F80" s="8">
        <v>1262.75</v>
      </c>
      <c r="G80" s="9">
        <f t="shared" si="7"/>
        <v>0.17382129843087679</v>
      </c>
      <c r="H80" s="14" cm="1">
        <f t="array" ref="H80">IFERROR(_xlfn.IFS(AND(G80&gt;12%,G80&lt;20%),0.5%,G80&gt;20%,1.5%,G80&lt;12%,"")*F80,"")</f>
        <v>6.3137499999999998</v>
      </c>
      <c r="I80" s="8">
        <f t="shared" si="8"/>
        <v>186.99</v>
      </c>
      <c r="J80" s="3">
        <f t="shared" si="9"/>
        <v>2</v>
      </c>
    </row>
    <row r="81" spans="2:10" ht="20.149999999999999" customHeight="1" x14ac:dyDescent="0.3">
      <c r="B81" s="5">
        <v>44797</v>
      </c>
      <c r="C81" s="6" t="s">
        <v>6</v>
      </c>
      <c r="D81" s="10" t="s">
        <v>9</v>
      </c>
      <c r="E81" s="7">
        <v>896.05</v>
      </c>
      <c r="F81" s="8">
        <v>957</v>
      </c>
      <c r="G81" s="9">
        <f t="shared" si="7"/>
        <v>6.8020757770213769E-2</v>
      </c>
      <c r="H81" s="14" t="str" cm="1">
        <f t="array" ref="H81">IFERROR(_xlfn.IFS(AND(G81&gt;12%,G81&lt;20%),0.5%,G81&gt;20%,1.5%,G81&lt;12%,"")*F81,"")</f>
        <v/>
      </c>
      <c r="I81" s="8">
        <f t="shared" si="8"/>
        <v>60.950000000000045</v>
      </c>
      <c r="J81" s="3">
        <f t="shared" si="9"/>
        <v>3</v>
      </c>
    </row>
    <row r="82" spans="2:10" ht="20.149999999999999" customHeight="1" x14ac:dyDescent="0.3">
      <c r="B82" s="5">
        <v>44797</v>
      </c>
      <c r="C82" s="6" t="s">
        <v>7</v>
      </c>
      <c r="D82" s="10" t="s">
        <v>10</v>
      </c>
      <c r="E82" s="7">
        <v>843.34</v>
      </c>
      <c r="F82" s="8">
        <v>1039.25</v>
      </c>
      <c r="G82" s="9">
        <f t="shared" si="7"/>
        <v>0.23230251144259725</v>
      </c>
      <c r="H82" s="14" cm="1">
        <f t="array" ref="H82">IFERROR(_xlfn.IFS(AND(G82&gt;12%,G82&lt;20%),0.5%,G82&gt;20%,1.5%,G82&lt;12%,"")*F82,"")</f>
        <v>15.588749999999999</v>
      </c>
      <c r="I82" s="8">
        <f t="shared" si="8"/>
        <v>195.90999999999997</v>
      </c>
      <c r="J82" s="3">
        <f t="shared" si="9"/>
        <v>3</v>
      </c>
    </row>
    <row r="83" spans="2:10" ht="20.149999999999999" customHeight="1" x14ac:dyDescent="0.3">
      <c r="B83" s="5">
        <v>44798</v>
      </c>
      <c r="C83" s="6" t="s">
        <v>6</v>
      </c>
      <c r="D83" s="10" t="s">
        <v>10</v>
      </c>
      <c r="E83" s="7">
        <v>1211.6600000000001</v>
      </c>
      <c r="F83" s="8">
        <v>1325.75</v>
      </c>
      <c r="G83" s="9">
        <f t="shared" si="7"/>
        <v>9.4160077909644549E-2</v>
      </c>
      <c r="H83" s="14" t="str" cm="1">
        <f t="array" ref="H83">IFERROR(_xlfn.IFS(AND(G83&gt;12%,G83&lt;20%),0.5%,G83&gt;20%,1.5%,G83&lt;12%,"")*F83,"")</f>
        <v/>
      </c>
      <c r="I83" s="8">
        <f t="shared" si="8"/>
        <v>114.08999999999992</v>
      </c>
      <c r="J83" s="3">
        <f t="shared" si="9"/>
        <v>4</v>
      </c>
    </row>
    <row r="84" spans="2:10" ht="20.149999999999999" customHeight="1" x14ac:dyDescent="0.3">
      <c r="B84" s="5">
        <v>44798</v>
      </c>
      <c r="C84" s="6" t="s">
        <v>7</v>
      </c>
      <c r="D84" s="10" t="s">
        <v>9</v>
      </c>
      <c r="E84" s="7">
        <v>1357.2</v>
      </c>
      <c r="F84" s="8">
        <v>1463.25</v>
      </c>
      <c r="G84" s="9">
        <f t="shared" si="7"/>
        <v>7.8138815207780696E-2</v>
      </c>
      <c r="H84" s="14" t="str" cm="1">
        <f t="array" ref="H84">IFERROR(_xlfn.IFS(AND(G84&gt;12%,G84&lt;20%),0.5%,G84&gt;20%,1.5%,G84&lt;12%,"")*F84,"")</f>
        <v/>
      </c>
      <c r="I84" s="8">
        <f t="shared" si="8"/>
        <v>106.04999999999995</v>
      </c>
      <c r="J84" s="3">
        <f t="shared" si="9"/>
        <v>4</v>
      </c>
    </row>
    <row r="85" spans="2:10" ht="20.149999999999999" customHeight="1" x14ac:dyDescent="0.3">
      <c r="B85" s="5">
        <v>44799</v>
      </c>
      <c r="C85" s="6" t="s">
        <v>6</v>
      </c>
      <c r="D85" s="10" t="s">
        <v>10</v>
      </c>
      <c r="E85" s="7">
        <v>940.87</v>
      </c>
      <c r="F85" s="8">
        <v>1027.75</v>
      </c>
      <c r="G85" s="9">
        <f t="shared" si="7"/>
        <v>9.2340068234718922E-2</v>
      </c>
      <c r="H85" s="14" t="str" cm="1">
        <f t="array" ref="H85">IFERROR(_xlfn.IFS(AND(G85&gt;12%,G85&lt;20%),0.5%,G85&gt;20%,1.5%,G85&lt;12%,"")*F85,"")</f>
        <v/>
      </c>
      <c r="I85" s="8">
        <f t="shared" si="8"/>
        <v>86.88</v>
      </c>
      <c r="J85" s="3">
        <f t="shared" si="9"/>
        <v>5</v>
      </c>
    </row>
    <row r="86" spans="2:10" ht="20.149999999999999" customHeight="1" x14ac:dyDescent="0.3">
      <c r="B86" s="5">
        <v>44799</v>
      </c>
      <c r="C86" s="6" t="s">
        <v>7</v>
      </c>
      <c r="D86" s="10" t="s">
        <v>9</v>
      </c>
      <c r="E86" s="7">
        <v>1274.05</v>
      </c>
      <c r="F86" s="8">
        <v>1455</v>
      </c>
      <c r="G86" s="9">
        <f t="shared" si="7"/>
        <v>0.14202739295946004</v>
      </c>
      <c r="H86" s="14" cm="1">
        <f t="array" ref="H86">IFERROR(_xlfn.IFS(AND(G86&gt;12%,G86&lt;20%),0.5%,G86&gt;20%,1.5%,G86&lt;12%,"")*F86,"")</f>
        <v>7.2750000000000004</v>
      </c>
      <c r="I86" s="8">
        <f t="shared" si="8"/>
        <v>180.95000000000005</v>
      </c>
      <c r="J86" s="3">
        <f t="shared" si="9"/>
        <v>5</v>
      </c>
    </row>
    <row r="87" spans="2:10" ht="20.149999999999999" customHeight="1" x14ac:dyDescent="0.3">
      <c r="B87" s="5">
        <v>44802</v>
      </c>
      <c r="C87" s="6" t="s">
        <v>6</v>
      </c>
      <c r="D87" s="10" t="s">
        <v>10</v>
      </c>
      <c r="E87" s="7">
        <v>1179.06</v>
      </c>
      <c r="F87" s="8">
        <v>1376</v>
      </c>
      <c r="G87" s="9">
        <f t="shared" si="7"/>
        <v>0.16703136396790669</v>
      </c>
      <c r="H87" s="14" cm="1">
        <f t="array" ref="H87">IFERROR(_xlfn.IFS(AND(G87&gt;12%,G87&lt;20%),0.5%,G87&gt;20%,1.5%,G87&lt;12%,"")*F87,"")</f>
        <v>6.88</v>
      </c>
      <c r="I87" s="8">
        <f t="shared" si="8"/>
        <v>196.94000000000005</v>
      </c>
      <c r="J87" s="3">
        <f t="shared" si="9"/>
        <v>1</v>
      </c>
    </row>
    <row r="88" spans="2:10" ht="20.149999999999999" customHeight="1" x14ac:dyDescent="0.3">
      <c r="B88" s="5">
        <v>44802</v>
      </c>
      <c r="C88" s="6" t="s">
        <v>7</v>
      </c>
      <c r="D88" s="10" t="s">
        <v>9</v>
      </c>
      <c r="E88" s="7">
        <v>774.2</v>
      </c>
      <c r="F88" s="8">
        <v>946.25</v>
      </c>
      <c r="G88" s="9">
        <f t="shared" si="7"/>
        <v>0.22222939808834918</v>
      </c>
      <c r="H88" s="14" cm="1">
        <f t="array" ref="H88">IFERROR(_xlfn.IFS(AND(G88&gt;12%,G88&lt;20%),0.5%,G88&gt;20%,1.5%,G88&lt;12%,"")*F88,"")</f>
        <v>14.19375</v>
      </c>
      <c r="I88" s="8">
        <f t="shared" si="8"/>
        <v>172.04999999999995</v>
      </c>
      <c r="J88" s="3">
        <f t="shared" si="9"/>
        <v>1</v>
      </c>
    </row>
    <row r="89" spans="2:10" ht="20.149999999999999" customHeight="1" x14ac:dyDescent="0.3">
      <c r="B89" s="5">
        <v>44803</v>
      </c>
      <c r="C89" s="6" t="s">
        <v>6</v>
      </c>
      <c r="D89" s="10" t="s">
        <v>9</v>
      </c>
      <c r="E89" s="7">
        <v>1350.48</v>
      </c>
      <c r="F89" s="8">
        <v>1509.5</v>
      </c>
      <c r="G89" s="9">
        <f t="shared" si="7"/>
        <v>0.11775072566791066</v>
      </c>
      <c r="H89" s="14" t="str" cm="1">
        <f t="array" ref="H89">IFERROR(_xlfn.IFS(AND(G89&gt;12%,G89&lt;20%),0.5%,G89&gt;20%,1.5%,G89&lt;12%,"")*F89,"")</f>
        <v/>
      </c>
      <c r="I89" s="8">
        <f t="shared" si="8"/>
        <v>159.01999999999998</v>
      </c>
      <c r="J89" s="3">
        <f t="shared" si="9"/>
        <v>2</v>
      </c>
    </row>
    <row r="90" spans="2:10" ht="20.149999999999999" customHeight="1" x14ac:dyDescent="0.3">
      <c r="B90" s="5">
        <v>44803</v>
      </c>
      <c r="C90" s="6" t="s">
        <v>7</v>
      </c>
      <c r="D90" s="10" t="s">
        <v>10</v>
      </c>
      <c r="E90" s="7">
        <v>1053.3699999999999</v>
      </c>
      <c r="F90" s="8">
        <v>1136.25</v>
      </c>
      <c r="G90" s="9">
        <f t="shared" si="7"/>
        <v>7.8680805415001484E-2</v>
      </c>
      <c r="H90" s="14" t="str" cm="1">
        <f t="array" ref="H90">IFERROR(_xlfn.IFS(AND(G90&gt;12%,G90&lt;20%),0.5%,G90&gt;20%,1.5%,G90&lt;12%,"")*F90,"")</f>
        <v/>
      </c>
      <c r="I90" s="8">
        <f t="shared" si="8"/>
        <v>82.880000000000109</v>
      </c>
      <c r="J90" s="3">
        <f t="shared" si="9"/>
        <v>2</v>
      </c>
    </row>
    <row r="91" spans="2:10" ht="20.149999999999999" customHeight="1" x14ac:dyDescent="0.3">
      <c r="B91" s="5">
        <v>44804</v>
      </c>
      <c r="C91" s="6" t="s">
        <v>6</v>
      </c>
      <c r="D91" s="10" t="s">
        <v>10</v>
      </c>
      <c r="E91" s="7">
        <v>1161.92</v>
      </c>
      <c r="F91" s="8">
        <v>1237</v>
      </c>
      <c r="G91" s="9">
        <f t="shared" si="7"/>
        <v>6.4617185348388811E-2</v>
      </c>
      <c r="H91" s="14" t="str" cm="1">
        <f t="array" ref="H91">IFERROR(_xlfn.IFS(AND(G91&gt;12%,G91&lt;20%),0.5%,G91&gt;20%,1.5%,G91&lt;12%,"")*F91,"")</f>
        <v/>
      </c>
      <c r="I91" s="8">
        <f t="shared" si="8"/>
        <v>75.079999999999927</v>
      </c>
      <c r="J91" s="3">
        <f t="shared" si="9"/>
        <v>3</v>
      </c>
    </row>
    <row r="92" spans="2:10" ht="20.149999999999999" customHeight="1" x14ac:dyDescent="0.3">
      <c r="B92" s="5">
        <v>44804</v>
      </c>
      <c r="C92" s="6" t="s">
        <v>7</v>
      </c>
      <c r="D92" s="10" t="s">
        <v>9</v>
      </c>
      <c r="E92" s="7">
        <v>951.93</v>
      </c>
      <c r="F92" s="8">
        <v>1136</v>
      </c>
      <c r="G92" s="9">
        <f t="shared" si="7"/>
        <v>0.19336505835513121</v>
      </c>
      <c r="H92" s="14" cm="1">
        <f t="array" ref="H92">IFERROR(_xlfn.IFS(AND(G92&gt;12%,G92&lt;20%),0.5%,G92&gt;20%,1.5%,G92&lt;12%,"")*F92,"")</f>
        <v>5.68</v>
      </c>
      <c r="I92" s="8">
        <f t="shared" si="8"/>
        <v>184.07000000000005</v>
      </c>
      <c r="J92" s="3">
        <f t="shared" si="9"/>
        <v>3</v>
      </c>
    </row>
    <row r="93" spans="2:10" ht="20.149999999999999" customHeight="1" x14ac:dyDescent="0.3">
      <c r="D93" s="2"/>
    </row>
    <row r="94" spans="2:10" ht="20.149999999999999" customHeight="1" x14ac:dyDescent="0.3">
      <c r="D94" s="2"/>
    </row>
    <row r="95" spans="2:10" ht="20.149999999999999" customHeight="1" x14ac:dyDescent="0.3">
      <c r="D95" s="2"/>
    </row>
    <row r="96" spans="2:10" ht="20.149999999999999" customHeight="1" x14ac:dyDescent="0.3">
      <c r="D96" s="2"/>
    </row>
    <row r="97" spans="4:4" ht="20.149999999999999" customHeight="1" x14ac:dyDescent="0.3">
      <c r="D97" s="2"/>
    </row>
    <row r="98" spans="4:4" ht="20.149999999999999" customHeight="1" x14ac:dyDescent="0.3">
      <c r="D98" s="2"/>
    </row>
    <row r="99" spans="4:4" ht="20.149999999999999" customHeight="1" x14ac:dyDescent="0.3">
      <c r="D99" s="2"/>
    </row>
    <row r="100" spans="4:4" ht="20.149999999999999" customHeight="1" x14ac:dyDescent="0.3">
      <c r="D100" s="2"/>
    </row>
    <row r="101" spans="4:4" ht="20.149999999999999" customHeight="1" x14ac:dyDescent="0.3">
      <c r="D101" s="2"/>
    </row>
    <row r="102" spans="4:4" ht="20.149999999999999" customHeight="1" x14ac:dyDescent="0.3">
      <c r="D102" s="2"/>
    </row>
    <row r="103" spans="4:4" ht="20.149999999999999" customHeight="1" x14ac:dyDescent="0.3">
      <c r="D103" s="2"/>
    </row>
    <row r="104" spans="4:4" ht="20.149999999999999" customHeight="1" x14ac:dyDescent="0.3">
      <c r="D104" s="2"/>
    </row>
    <row r="105" spans="4:4" ht="20.149999999999999" customHeight="1" x14ac:dyDescent="0.3">
      <c r="D105" s="2"/>
    </row>
  </sheetData>
  <mergeCells count="6">
    <mergeCell ref="B2:J2"/>
    <mergeCell ref="P27:P28"/>
    <mergeCell ref="N21:O21"/>
    <mergeCell ref="M21:M22"/>
    <mergeCell ref="M27:M28"/>
    <mergeCell ref="N27:O27"/>
  </mergeCells>
  <conditionalFormatting sqref="M34:M38 P34:P38">
    <cfRule type="top10" dxfId="1" priority="2" rank="1"/>
  </conditionalFormatting>
  <conditionalFormatting sqref="M45:M49 P45:P49">
    <cfRule type="top10" dxfId="0" priority="1" rank="1"/>
  </conditionalFormatting>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shift wise report analysis</vt:lpstr>
      <vt:lpstr>Problem</vt:lpstr>
      <vt:lpstr>Reference Data</vt:lpstr>
      <vt:lpstr>Solution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kumar shavik</cp:lastModifiedBy>
  <dcterms:created xsi:type="dcterms:W3CDTF">2015-06-05T18:17:20Z</dcterms:created>
  <dcterms:modified xsi:type="dcterms:W3CDTF">2023-11-18T01:48:05Z</dcterms:modified>
</cp:coreProperties>
</file>