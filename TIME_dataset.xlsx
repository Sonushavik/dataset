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SET\"/>
    </mc:Choice>
  </mc:AlternateContent>
  <xr:revisionPtr revIDLastSave="0" documentId="13_ncr:1_{B2BCC1BC-B6C2-4FB2-9330-E16014848A3A}" xr6:coauthVersionLast="47" xr6:coauthVersionMax="47" xr10:uidLastSave="{00000000-0000-0000-0000-000000000000}"/>
  <bookViews>
    <workbookView xWindow="-118" yWindow="-118" windowWidth="25370" windowHeight="14374" xr2:uid="{17CA603C-5F57-48ED-ABCC-6905CB3533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1" l="1"/>
  <c r="I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I40" i="1"/>
  <c r="I22" i="1"/>
  <c r="I15" i="1"/>
  <c r="I16" i="1"/>
  <c r="I17" i="1"/>
  <c r="I18" i="1"/>
  <c r="I19" i="1"/>
  <c r="I20" i="1"/>
  <c r="I21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F14" i="1"/>
  <c r="E14" i="1"/>
  <c r="E15" i="1"/>
  <c r="E2" i="1"/>
  <c r="G3" i="1"/>
  <c r="G4" i="1"/>
  <c r="G5" i="1"/>
  <c r="G6" i="1"/>
  <c r="G2" i="1"/>
  <c r="F3" i="1"/>
  <c r="F4" i="1"/>
  <c r="F5" i="1"/>
  <c r="F6" i="1"/>
  <c r="F2" i="1"/>
  <c r="E4" i="1"/>
  <c r="E5" i="1"/>
  <c r="E6" i="1"/>
  <c r="E3" i="1"/>
</calcChain>
</file>

<file path=xl/sharedStrings.xml><?xml version="1.0" encoding="utf-8"?>
<sst xmlns="http://schemas.openxmlformats.org/spreadsheetml/2006/main" count="42" uniqueCount="12">
  <si>
    <t>Employee Name</t>
  </si>
  <si>
    <t>Joining Timestamp</t>
  </si>
  <si>
    <t>Ending Timestamp</t>
  </si>
  <si>
    <t>John Doe</t>
  </si>
  <si>
    <t>Jane Smith</t>
  </si>
  <si>
    <t>Peter Jones</t>
  </si>
  <si>
    <t>Mary Williams</t>
  </si>
  <si>
    <t>David Brown</t>
  </si>
  <si>
    <t>eladpse minute</t>
  </si>
  <si>
    <t>roundup nearest 15 min</t>
  </si>
  <si>
    <t>rounddown nearest 15 min</t>
  </si>
  <si>
    <t xml:space="preserve">end 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</si>
</sst>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1F1F1F"/>
      <name val="Arial"/>
      <family val="2"/>
    </font>
    <font>
      <sz val="10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 wrapText="1"/>
    </xf>
    <xf numFmtId="22" fontId="0" fillId="0" borderId="0" xfId="0" applyNumberFormat="1"/>
    <xf numFmtId="21" fontId="0" fillId="0" borderId="0" xfId="0" applyNumberFormat="1"/>
    <xf numFmtId="0" fontId="2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 indent="1"/>
    </xf>
    <xf numFmtId="21" fontId="1" fillId="2" borderId="0" xfId="0" applyNumberFormat="1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77D6A-0C3A-4CDB-A22C-60D41E6E8BC0}">
  <dimension ref="A1:J40"/>
  <sheetViews>
    <sheetView tabSelected="1" topLeftCell="A16" zoomScale="59" workbookViewId="0">
      <selection activeCell="J24" sqref="J24"/>
    </sheetView>
  </sheetViews>
  <sheetFormatPr defaultRowHeight="15.05" x14ac:dyDescent="0.3"/>
  <cols>
    <col min="2" max="3" width="14.88671875" bestFit="1" customWidth="1"/>
    <col min="6" max="6" width="15.109375" bestFit="1" customWidth="1"/>
  </cols>
  <sheetData>
    <row r="1" spans="1:10" ht="37.35" x14ac:dyDescent="0.3">
      <c r="A1" s="4" t="s">
        <v>0</v>
      </c>
      <c r="B1" s="4" t="s">
        <v>1</v>
      </c>
      <c r="C1" s="4" t="s">
        <v>2</v>
      </c>
      <c r="E1" s="1" t="s">
        <v>8</v>
      </c>
      <c r="F1" s="1" t="s">
        <v>9</v>
      </c>
      <c r="G1" s="1" t="s">
        <v>10</v>
      </c>
    </row>
    <row r="2" spans="1:10" ht="24.9" x14ac:dyDescent="0.3">
      <c r="A2" s="5" t="s">
        <v>3</v>
      </c>
      <c r="B2" s="6">
        <v>0.375</v>
      </c>
      <c r="C2" s="6">
        <v>0.70833333333333337</v>
      </c>
      <c r="E2">
        <f>IF(B2&lt;C2,1+C2-B2,C2-B2)</f>
        <v>1.3333333333333335</v>
      </c>
      <c r="F2" s="2">
        <f>ROUNDUP(C2*24/0.5,1)*(0.5/24)</f>
        <v>0.70833333333333326</v>
      </c>
      <c r="G2" s="3">
        <f>ROUNDDOWN(B2*24/0.5,0)*(0.5/24)</f>
        <v>0.375</v>
      </c>
    </row>
    <row r="3" spans="1:10" ht="24.9" x14ac:dyDescent="0.3">
      <c r="A3" s="5" t="s">
        <v>4</v>
      </c>
      <c r="B3" s="6">
        <v>0.39583333333333331</v>
      </c>
      <c r="C3" s="6">
        <v>0.6875</v>
      </c>
      <c r="E3">
        <f>IF(B3&lt;C3,1+C3-B3,C3-B3)</f>
        <v>1.2916666666666667</v>
      </c>
      <c r="F3" s="2">
        <f t="shared" ref="F3:F6" si="0">ROUNDUP(C3*24/0.5,1)*(0.5/24)</f>
        <v>0.6875</v>
      </c>
      <c r="G3" s="3">
        <f t="shared" ref="G3:G6" si="1">ROUNDDOWN(B3*24/0.5,0)*(0.5/24)</f>
        <v>0.39583333333333331</v>
      </c>
    </row>
    <row r="4" spans="1:10" ht="24.9" x14ac:dyDescent="0.3">
      <c r="A4" s="5" t="s">
        <v>5</v>
      </c>
      <c r="B4" s="6">
        <v>0.41666666666666669</v>
      </c>
      <c r="C4" s="6">
        <v>0.75</v>
      </c>
      <c r="E4">
        <f t="shared" ref="E4:E6" si="2">IF(B4&lt;C4,1+C4-B4,C4-B4)</f>
        <v>1.3333333333333333</v>
      </c>
      <c r="F4" s="2">
        <f t="shared" si="0"/>
        <v>0.75</v>
      </c>
      <c r="G4" s="3">
        <f t="shared" si="1"/>
        <v>0.41666666666666663</v>
      </c>
    </row>
    <row r="5" spans="1:10" ht="24.9" x14ac:dyDescent="0.3">
      <c r="A5" s="5" t="s">
        <v>6</v>
      </c>
      <c r="B5" s="6">
        <v>0.35416666666666669</v>
      </c>
      <c r="C5" s="6">
        <v>0.66666666666666663</v>
      </c>
      <c r="E5">
        <f t="shared" si="2"/>
        <v>1.3124999999999998</v>
      </c>
      <c r="F5" s="2">
        <f t="shared" si="0"/>
        <v>0.66666666666666663</v>
      </c>
      <c r="G5" s="3">
        <f t="shared" si="1"/>
        <v>0.35416666666666663</v>
      </c>
    </row>
    <row r="6" spans="1:10" ht="24.9" x14ac:dyDescent="0.3">
      <c r="A6" s="5" t="s">
        <v>7</v>
      </c>
      <c r="B6" s="6">
        <v>0.38541666666666669</v>
      </c>
      <c r="C6" s="6">
        <v>0.71875</v>
      </c>
      <c r="E6">
        <f t="shared" si="2"/>
        <v>1.3333333333333333</v>
      </c>
      <c r="F6" s="2">
        <f t="shared" si="0"/>
        <v>0.71875</v>
      </c>
      <c r="G6" s="3">
        <f t="shared" si="1"/>
        <v>0.375</v>
      </c>
    </row>
    <row r="13" spans="1:10" ht="24.9" x14ac:dyDescent="0.3">
      <c r="A13" s="4" t="s">
        <v>0</v>
      </c>
      <c r="B13" s="4" t="s">
        <v>1</v>
      </c>
      <c r="C13" s="4" t="s">
        <v>2</v>
      </c>
      <c r="I13" t="s">
        <v>11</v>
      </c>
    </row>
    <row r="14" spans="1:10" ht="24.9" x14ac:dyDescent="0.3">
      <c r="A14" s="5" t="s">
        <v>3</v>
      </c>
      <c r="B14" s="6">
        <v>0.39097222222222222</v>
      </c>
      <c r="C14" s="6">
        <v>0.70833333333333337</v>
      </c>
      <c r="E14">
        <f>IF(C14&lt;B14,1+C14-B14,C14-B14)</f>
        <v>0.31736111111111115</v>
      </c>
      <c r="F14" s="3">
        <f>ROUNDUP(B14*24/0.25,0)*(0.25/24)</f>
        <v>0.39583333333333331</v>
      </c>
      <c r="G14" s="3">
        <f>ROUNDDOWN(C14*24/0.25,0)*(0.25/24)</f>
        <v>0.70833333333333326</v>
      </c>
      <c r="I14" s="3">
        <f>B14+TIME(8,30,0)</f>
        <v>0.74513888888888891</v>
      </c>
      <c r="J14" t="str">
        <f>IF((G14-B14)=8.3,"ontime","before time")</f>
        <v>before time</v>
      </c>
    </row>
    <row r="15" spans="1:10" ht="24.9" x14ac:dyDescent="0.3">
      <c r="A15" s="5" t="s">
        <v>4</v>
      </c>
      <c r="B15" s="6">
        <v>0.39583333333333331</v>
      </c>
      <c r="C15" s="6">
        <v>0.6875</v>
      </c>
      <c r="E15">
        <f t="shared" ref="E15:E40" si="3">IF(C15&lt;B15,1+C15-B15,C15-B15)</f>
        <v>0.29166666666666669</v>
      </c>
      <c r="F15" s="3">
        <f t="shared" ref="F15:F40" si="4">ROUNDUP(B15*24/0.25,0)*(0.25/24)</f>
        <v>0.39583333333333331</v>
      </c>
      <c r="G15" s="3">
        <f t="shared" ref="G15:G40" si="5">ROUNDDOWN(C15*24/0.25,0)*(0.25/24)</f>
        <v>0.6875</v>
      </c>
      <c r="I15" s="3">
        <f t="shared" ref="I15:I40" si="6">B15+TIME(8,30,0)</f>
        <v>0.75</v>
      </c>
      <c r="J15" t="str">
        <f t="shared" ref="J15:J34" si="7">IF((G15-B15)=8.3,"ontime","before time")</f>
        <v>before time</v>
      </c>
    </row>
    <row r="16" spans="1:10" ht="24.9" x14ac:dyDescent="0.3">
      <c r="A16" s="5" t="s">
        <v>5</v>
      </c>
      <c r="B16" s="6">
        <v>0.44027777777777777</v>
      </c>
      <c r="C16" s="6">
        <v>0.75</v>
      </c>
      <c r="E16">
        <f t="shared" si="3"/>
        <v>0.30972222222222223</v>
      </c>
      <c r="F16" s="3">
        <f t="shared" si="4"/>
        <v>0.44791666666666663</v>
      </c>
      <c r="G16" s="3">
        <f t="shared" si="5"/>
        <v>0.75</v>
      </c>
      <c r="I16" s="3">
        <f t="shared" si="6"/>
        <v>0.79444444444444451</v>
      </c>
      <c r="J16" t="str">
        <f t="shared" si="7"/>
        <v>before time</v>
      </c>
    </row>
    <row r="17" spans="1:10" ht="24.9" x14ac:dyDescent="0.3">
      <c r="A17" s="5" t="s">
        <v>6</v>
      </c>
      <c r="B17" s="6">
        <v>0.35416666666666669</v>
      </c>
      <c r="C17" s="6">
        <v>0.66666666666666663</v>
      </c>
      <c r="E17">
        <f t="shared" si="3"/>
        <v>0.31249999999999994</v>
      </c>
      <c r="F17" s="3">
        <f t="shared" si="4"/>
        <v>0.35416666666666663</v>
      </c>
      <c r="G17" s="3">
        <f t="shared" si="5"/>
        <v>0.66666666666666663</v>
      </c>
      <c r="I17" s="3">
        <f t="shared" si="6"/>
        <v>0.70833333333333337</v>
      </c>
      <c r="J17" t="str">
        <f t="shared" si="7"/>
        <v>before time</v>
      </c>
    </row>
    <row r="18" spans="1:10" ht="24.9" x14ac:dyDescent="0.3">
      <c r="A18" s="5" t="s">
        <v>7</v>
      </c>
      <c r="B18" s="6">
        <v>0.38541666666666669</v>
      </c>
      <c r="C18" s="6">
        <v>0.71875</v>
      </c>
      <c r="E18">
        <f t="shared" si="3"/>
        <v>0.33333333333333331</v>
      </c>
      <c r="F18" s="3">
        <f t="shared" si="4"/>
        <v>0.38541666666666663</v>
      </c>
      <c r="G18" s="3">
        <f t="shared" si="5"/>
        <v>0.71875</v>
      </c>
      <c r="I18" s="3">
        <f t="shared" si="6"/>
        <v>0.73958333333333337</v>
      </c>
      <c r="J18" t="str">
        <f t="shared" si="7"/>
        <v>before time</v>
      </c>
    </row>
    <row r="19" spans="1:10" ht="24.9" x14ac:dyDescent="0.3">
      <c r="A19" s="5" t="s">
        <v>3</v>
      </c>
      <c r="B19" s="6">
        <v>0.375</v>
      </c>
      <c r="C19" s="6">
        <v>0.70833333333333337</v>
      </c>
      <c r="E19">
        <f t="shared" si="3"/>
        <v>0.33333333333333337</v>
      </c>
      <c r="F19" s="3">
        <f t="shared" si="4"/>
        <v>0.375</v>
      </c>
      <c r="G19" s="3">
        <f t="shared" si="5"/>
        <v>0.70833333333333326</v>
      </c>
      <c r="I19" s="3">
        <f t="shared" si="6"/>
        <v>0.72916666666666674</v>
      </c>
      <c r="J19" t="str">
        <f t="shared" si="7"/>
        <v>before time</v>
      </c>
    </row>
    <row r="20" spans="1:10" ht="24.9" x14ac:dyDescent="0.3">
      <c r="A20" s="5" t="s">
        <v>4</v>
      </c>
      <c r="B20" s="6">
        <v>0.39583333333333331</v>
      </c>
      <c r="C20" s="6">
        <v>0.6875</v>
      </c>
      <c r="E20">
        <f t="shared" si="3"/>
        <v>0.29166666666666669</v>
      </c>
      <c r="F20" s="3">
        <f t="shared" si="4"/>
        <v>0.39583333333333331</v>
      </c>
      <c r="G20" s="3">
        <f t="shared" si="5"/>
        <v>0.6875</v>
      </c>
      <c r="I20" s="3">
        <f t="shared" si="6"/>
        <v>0.75</v>
      </c>
      <c r="J20" t="str">
        <f t="shared" si="7"/>
        <v>before time</v>
      </c>
    </row>
    <row r="21" spans="1:10" ht="24.9" x14ac:dyDescent="0.3">
      <c r="A21" s="5" t="s">
        <v>5</v>
      </c>
      <c r="B21" s="6">
        <v>0.41666666666666669</v>
      </c>
      <c r="C21" s="6">
        <v>0.75</v>
      </c>
      <c r="E21">
        <f t="shared" si="3"/>
        <v>0.33333333333333331</v>
      </c>
      <c r="F21" s="3">
        <f t="shared" si="4"/>
        <v>0.41666666666666663</v>
      </c>
      <c r="G21" s="3">
        <f t="shared" si="5"/>
        <v>0.75</v>
      </c>
      <c r="I21" s="3">
        <f t="shared" si="6"/>
        <v>0.77083333333333337</v>
      </c>
      <c r="J21" t="str">
        <f t="shared" si="7"/>
        <v>before time</v>
      </c>
    </row>
    <row r="22" spans="1:10" ht="24.9" x14ac:dyDescent="0.3">
      <c r="A22" s="5" t="s">
        <v>6</v>
      </c>
      <c r="B22" s="6">
        <v>0.35416666666666669</v>
      </c>
      <c r="C22" s="6">
        <v>0.66666666666666663</v>
      </c>
      <c r="E22">
        <f t="shared" si="3"/>
        <v>0.31249999999999994</v>
      </c>
      <c r="F22" s="3">
        <f t="shared" si="4"/>
        <v>0.35416666666666663</v>
      </c>
      <c r="G22" s="3">
        <f t="shared" si="5"/>
        <v>0.66666666666666663</v>
      </c>
      <c r="I22" s="3">
        <f>B22+TIME(6,30,0)</f>
        <v>0.625</v>
      </c>
      <c r="J22" t="str">
        <f t="shared" si="7"/>
        <v>before time</v>
      </c>
    </row>
    <row r="23" spans="1:10" ht="24.9" x14ac:dyDescent="0.3">
      <c r="A23" s="5" t="s">
        <v>7</v>
      </c>
      <c r="B23" s="6">
        <v>0.38541666666666669</v>
      </c>
      <c r="C23" s="6">
        <v>0.71875</v>
      </c>
      <c r="E23">
        <f t="shared" si="3"/>
        <v>0.33333333333333331</v>
      </c>
      <c r="F23" s="3">
        <f t="shared" si="4"/>
        <v>0.38541666666666663</v>
      </c>
      <c r="G23" s="3">
        <f t="shared" si="5"/>
        <v>0.71875</v>
      </c>
      <c r="I23" s="3">
        <f t="shared" si="6"/>
        <v>0.73958333333333337</v>
      </c>
      <c r="J23" t="str">
        <f t="shared" si="7"/>
        <v>before time</v>
      </c>
    </row>
    <row r="24" spans="1:10" ht="24.9" x14ac:dyDescent="0.3">
      <c r="A24" s="5" t="s">
        <v>3</v>
      </c>
      <c r="B24" s="6">
        <v>0.375</v>
      </c>
      <c r="C24" s="6">
        <v>0.7319444444444444</v>
      </c>
      <c r="E24">
        <f t="shared" si="3"/>
        <v>0.3569444444444444</v>
      </c>
      <c r="F24" s="3">
        <f t="shared" si="4"/>
        <v>0.375</v>
      </c>
      <c r="G24" s="3">
        <f t="shared" si="5"/>
        <v>0.72916666666666663</v>
      </c>
      <c r="I24" s="3">
        <f t="shared" si="6"/>
        <v>0.72916666666666674</v>
      </c>
      <c r="J24" t="str">
        <f t="shared" si="7"/>
        <v>before time</v>
      </c>
    </row>
    <row r="25" spans="1:10" ht="24.9" x14ac:dyDescent="0.3">
      <c r="A25" s="5" t="s">
        <v>4</v>
      </c>
      <c r="B25" s="6">
        <v>0.39583333333333331</v>
      </c>
      <c r="C25" s="6">
        <v>0.6875</v>
      </c>
      <c r="E25">
        <f t="shared" si="3"/>
        <v>0.29166666666666669</v>
      </c>
      <c r="F25" s="3">
        <f t="shared" si="4"/>
        <v>0.39583333333333331</v>
      </c>
      <c r="G25" s="3">
        <f t="shared" si="5"/>
        <v>0.6875</v>
      </c>
      <c r="I25" s="3">
        <f t="shared" si="6"/>
        <v>0.75</v>
      </c>
      <c r="J25" t="str">
        <f t="shared" si="7"/>
        <v>before time</v>
      </c>
    </row>
    <row r="26" spans="1:10" ht="24.9" x14ac:dyDescent="0.3">
      <c r="A26" s="5" t="s">
        <v>5</v>
      </c>
      <c r="B26" s="6">
        <v>0.41666666666666669</v>
      </c>
      <c r="C26" s="6">
        <v>0.75347222222222221</v>
      </c>
      <c r="E26">
        <f t="shared" si="3"/>
        <v>0.33680555555555552</v>
      </c>
      <c r="F26" s="3">
        <f t="shared" si="4"/>
        <v>0.41666666666666663</v>
      </c>
      <c r="G26" s="3">
        <f t="shared" si="5"/>
        <v>0.75</v>
      </c>
      <c r="I26" s="3">
        <f t="shared" si="6"/>
        <v>0.77083333333333337</v>
      </c>
      <c r="J26" t="str">
        <f t="shared" si="7"/>
        <v>before time</v>
      </c>
    </row>
    <row r="27" spans="1:10" ht="24.9" x14ac:dyDescent="0.3">
      <c r="A27" s="5" t="s">
        <v>6</v>
      </c>
      <c r="B27" s="6">
        <v>0.35416666666666669</v>
      </c>
      <c r="C27" s="6">
        <v>0.66666666666666663</v>
      </c>
      <c r="E27">
        <f t="shared" si="3"/>
        <v>0.31249999999999994</v>
      </c>
      <c r="F27" s="3">
        <f t="shared" si="4"/>
        <v>0.35416666666666663</v>
      </c>
      <c r="G27" s="3">
        <f t="shared" si="5"/>
        <v>0.66666666666666663</v>
      </c>
      <c r="I27" s="3">
        <f t="shared" si="6"/>
        <v>0.70833333333333337</v>
      </c>
      <c r="J27" t="str">
        <f t="shared" si="7"/>
        <v>before time</v>
      </c>
    </row>
    <row r="28" spans="1:10" ht="24.9" x14ac:dyDescent="0.3">
      <c r="A28" s="5" t="s">
        <v>7</v>
      </c>
      <c r="B28" s="6">
        <v>0.38541666666666669</v>
      </c>
      <c r="C28" s="6">
        <v>0.71875</v>
      </c>
      <c r="E28">
        <f t="shared" si="3"/>
        <v>0.33333333333333331</v>
      </c>
      <c r="F28" s="3">
        <f t="shared" si="4"/>
        <v>0.38541666666666663</v>
      </c>
      <c r="G28" s="3">
        <f t="shared" si="5"/>
        <v>0.71875</v>
      </c>
      <c r="I28" s="3">
        <f t="shared" si="6"/>
        <v>0.73958333333333337</v>
      </c>
      <c r="J28" t="str">
        <f t="shared" si="7"/>
        <v>before time</v>
      </c>
    </row>
    <row r="29" spans="1:10" ht="24.9" x14ac:dyDescent="0.3">
      <c r="A29" s="5" t="s">
        <v>3</v>
      </c>
      <c r="B29" s="6">
        <v>0.375</v>
      </c>
      <c r="C29" s="6">
        <v>0.70833333333333337</v>
      </c>
      <c r="E29">
        <f t="shared" si="3"/>
        <v>0.33333333333333337</v>
      </c>
      <c r="F29" s="3">
        <f t="shared" si="4"/>
        <v>0.375</v>
      </c>
      <c r="G29" s="3">
        <f t="shared" si="5"/>
        <v>0.70833333333333326</v>
      </c>
      <c r="I29" s="3">
        <f t="shared" si="6"/>
        <v>0.72916666666666674</v>
      </c>
      <c r="J29" t="str">
        <f t="shared" si="7"/>
        <v>before time</v>
      </c>
    </row>
    <row r="30" spans="1:10" ht="24.9" x14ac:dyDescent="0.3">
      <c r="A30" s="5" t="s">
        <v>4</v>
      </c>
      <c r="B30" s="6">
        <v>0.39583333333333331</v>
      </c>
      <c r="C30" s="6">
        <v>0.69097222222222221</v>
      </c>
      <c r="E30">
        <f t="shared" si="3"/>
        <v>0.2951388888888889</v>
      </c>
      <c r="F30" s="3">
        <f t="shared" si="4"/>
        <v>0.39583333333333331</v>
      </c>
      <c r="G30" s="3">
        <f t="shared" si="5"/>
        <v>0.6875</v>
      </c>
      <c r="I30" s="3">
        <f t="shared" si="6"/>
        <v>0.75</v>
      </c>
      <c r="J30" t="str">
        <f t="shared" si="7"/>
        <v>before time</v>
      </c>
    </row>
    <row r="31" spans="1:10" ht="24.9" x14ac:dyDescent="0.3">
      <c r="A31" s="5" t="s">
        <v>5</v>
      </c>
      <c r="B31" s="6">
        <v>0.41666666666666669</v>
      </c>
      <c r="C31" s="6">
        <v>0.75</v>
      </c>
      <c r="E31">
        <f t="shared" si="3"/>
        <v>0.33333333333333331</v>
      </c>
      <c r="F31" s="3">
        <f t="shared" si="4"/>
        <v>0.41666666666666663</v>
      </c>
      <c r="G31" s="3">
        <f t="shared" si="5"/>
        <v>0.75</v>
      </c>
      <c r="I31" s="3">
        <f t="shared" si="6"/>
        <v>0.77083333333333337</v>
      </c>
      <c r="J31" t="str">
        <f t="shared" si="7"/>
        <v>before time</v>
      </c>
    </row>
    <row r="32" spans="1:10" ht="24.9" x14ac:dyDescent="0.3">
      <c r="A32" s="5" t="s">
        <v>6</v>
      </c>
      <c r="B32" s="6">
        <v>0.35416666666666669</v>
      </c>
      <c r="C32" s="6">
        <v>0.66666666666666663</v>
      </c>
      <c r="E32">
        <f t="shared" si="3"/>
        <v>0.31249999999999994</v>
      </c>
      <c r="F32" s="3">
        <f t="shared" si="4"/>
        <v>0.35416666666666663</v>
      </c>
      <c r="G32" s="3">
        <f t="shared" si="5"/>
        <v>0.66666666666666663</v>
      </c>
      <c r="I32" s="3">
        <f t="shared" si="6"/>
        <v>0.70833333333333337</v>
      </c>
      <c r="J32" t="str">
        <f t="shared" si="7"/>
        <v>before time</v>
      </c>
    </row>
    <row r="33" spans="1:10" ht="24.9" x14ac:dyDescent="0.3">
      <c r="A33" s="5" t="s">
        <v>7</v>
      </c>
      <c r="B33" s="6">
        <v>0.38541666666666669</v>
      </c>
      <c r="C33" s="6">
        <v>0.71875</v>
      </c>
      <c r="E33">
        <f t="shared" si="3"/>
        <v>0.33333333333333331</v>
      </c>
      <c r="F33" s="3">
        <f t="shared" si="4"/>
        <v>0.38541666666666663</v>
      </c>
      <c r="G33" s="3">
        <f t="shared" si="5"/>
        <v>0.71875</v>
      </c>
      <c r="I33" s="3">
        <f t="shared" si="6"/>
        <v>0.73958333333333337</v>
      </c>
      <c r="J33" t="str">
        <f t="shared" si="7"/>
        <v>before time</v>
      </c>
    </row>
    <row r="34" spans="1:10" ht="24.9" x14ac:dyDescent="0.3">
      <c r="A34" s="5" t="s">
        <v>3</v>
      </c>
      <c r="B34" s="6">
        <v>0.375</v>
      </c>
      <c r="C34" s="6">
        <v>0.70833333333333337</v>
      </c>
      <c r="E34">
        <f t="shared" si="3"/>
        <v>0.33333333333333337</v>
      </c>
      <c r="F34" s="3">
        <f t="shared" si="4"/>
        <v>0.375</v>
      </c>
      <c r="G34" s="3">
        <f t="shared" si="5"/>
        <v>0.70833333333333326</v>
      </c>
      <c r="I34" s="3">
        <f t="shared" si="6"/>
        <v>0.72916666666666674</v>
      </c>
      <c r="J34" t="str">
        <f t="shared" si="7"/>
        <v>before time</v>
      </c>
    </row>
    <row r="35" spans="1:10" ht="24.9" x14ac:dyDescent="0.3">
      <c r="A35" s="5" t="s">
        <v>4</v>
      </c>
      <c r="B35" s="6">
        <v>0.39583333333333331</v>
      </c>
      <c r="C35" s="6">
        <v>0.6875</v>
      </c>
      <c r="E35">
        <f t="shared" si="3"/>
        <v>0.29166666666666669</v>
      </c>
      <c r="F35" s="3">
        <f t="shared" si="4"/>
        <v>0.39583333333333331</v>
      </c>
      <c r="G35" s="3">
        <f t="shared" si="5"/>
        <v>0.6875</v>
      </c>
      <c r="I35" s="3">
        <f t="shared" si="6"/>
        <v>0.75</v>
      </c>
    </row>
    <row r="36" spans="1:10" ht="24.9" x14ac:dyDescent="0.3">
      <c r="A36" s="5" t="s">
        <v>5</v>
      </c>
      <c r="B36" s="6">
        <v>0.41666666666666669</v>
      </c>
      <c r="C36" s="6">
        <v>0.75</v>
      </c>
      <c r="E36">
        <f t="shared" si="3"/>
        <v>0.33333333333333331</v>
      </c>
      <c r="F36" s="3">
        <f t="shared" si="4"/>
        <v>0.41666666666666663</v>
      </c>
      <c r="G36" s="3">
        <f t="shared" si="5"/>
        <v>0.75</v>
      </c>
      <c r="I36" s="3">
        <f t="shared" si="6"/>
        <v>0.77083333333333337</v>
      </c>
    </row>
    <row r="37" spans="1:10" ht="24.9" x14ac:dyDescent="0.3">
      <c r="A37" s="5" t="s">
        <v>6</v>
      </c>
      <c r="B37" s="6">
        <v>0.35416666666666669</v>
      </c>
      <c r="C37" s="6">
        <v>0.66666666666666663</v>
      </c>
      <c r="E37">
        <f t="shared" si="3"/>
        <v>0.31249999999999994</v>
      </c>
      <c r="F37" s="3">
        <f t="shared" si="4"/>
        <v>0.35416666666666663</v>
      </c>
      <c r="G37" s="3">
        <f t="shared" si="5"/>
        <v>0.66666666666666663</v>
      </c>
      <c r="I37" s="3">
        <f t="shared" si="6"/>
        <v>0.70833333333333337</v>
      </c>
    </row>
    <row r="38" spans="1:10" ht="24.9" x14ac:dyDescent="0.3">
      <c r="A38" s="5" t="s">
        <v>7</v>
      </c>
      <c r="B38" s="6">
        <v>0.38541666666666669</v>
      </c>
      <c r="C38" s="6">
        <v>0.71875</v>
      </c>
      <c r="E38">
        <f t="shared" si="3"/>
        <v>0.33333333333333331</v>
      </c>
      <c r="F38" s="3">
        <f t="shared" si="4"/>
        <v>0.38541666666666663</v>
      </c>
      <c r="G38" s="3">
        <f t="shared" si="5"/>
        <v>0.71875</v>
      </c>
      <c r="I38" s="3">
        <f t="shared" si="6"/>
        <v>0.73958333333333337</v>
      </c>
    </row>
    <row r="39" spans="1:10" ht="24.9" x14ac:dyDescent="0.3">
      <c r="A39" s="5" t="s">
        <v>3</v>
      </c>
      <c r="B39" s="6">
        <v>0.375</v>
      </c>
      <c r="C39" s="6">
        <v>0.70833333333333337</v>
      </c>
      <c r="E39">
        <f t="shared" si="3"/>
        <v>0.33333333333333337</v>
      </c>
      <c r="F39" s="3">
        <f t="shared" si="4"/>
        <v>0.375</v>
      </c>
      <c r="G39" s="3">
        <f t="shared" si="5"/>
        <v>0.70833333333333326</v>
      </c>
      <c r="I39" s="3">
        <f t="shared" si="6"/>
        <v>0.72916666666666674</v>
      </c>
    </row>
    <row r="40" spans="1:10" ht="24.9" x14ac:dyDescent="0.3">
      <c r="A40" s="5" t="s">
        <v>4</v>
      </c>
      <c r="B40" s="6">
        <v>0.39583333333333331</v>
      </c>
      <c r="C40" s="6">
        <v>0.6875</v>
      </c>
      <c r="E40">
        <f t="shared" si="3"/>
        <v>0.29166666666666669</v>
      </c>
      <c r="F40" s="3">
        <f t="shared" si="4"/>
        <v>0.39583333333333331</v>
      </c>
      <c r="G40" s="3">
        <f t="shared" si="5"/>
        <v>0.6875</v>
      </c>
      <c r="I40" s="3">
        <f>B40+TIME(5,30,0)</f>
        <v>0.625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shavik</dc:creator>
  <cp:lastModifiedBy>kumar shavik</cp:lastModifiedBy>
  <dcterms:created xsi:type="dcterms:W3CDTF">2023-12-01T19:17:27Z</dcterms:created>
  <dcterms:modified xsi:type="dcterms:W3CDTF">2023-12-03T17:55:55Z</dcterms:modified>
</cp:coreProperties>
</file>