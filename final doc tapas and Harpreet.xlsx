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SET\"/>
    </mc:Choice>
  </mc:AlternateContent>
  <xr:revisionPtr revIDLastSave="0" documentId="13_ncr:1_{419DAC68-6A26-4E16-B449-CBFFB33EEDA7}" xr6:coauthVersionLast="47" xr6:coauthVersionMax="47" xr10:uidLastSave="{00000000-0000-0000-0000-000000000000}"/>
  <bookViews>
    <workbookView xWindow="12463" yWindow="0" windowWidth="12776" windowHeight="14243" xr2:uid="{1B71C1C0-622D-4658-8E31-E60AFA2B20B9}"/>
  </bookViews>
  <sheets>
    <sheet name="Test" sheetId="1" r:id="rId1"/>
    <sheet name="OPD" sheetId="2" r:id="rId2"/>
    <sheet name="Patients" sheetId="3" r:id="rId3"/>
    <sheet name="LT" sheetId="4" r:id="rId4"/>
    <sheet name="Sheet5" sheetId="5" r:id="rId5"/>
    <sheet name="VHW" sheetId="6" r:id="rId6"/>
    <sheet name="Medicine" sheetId="7" r:id="rId7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6" i="1"/>
  <c r="AC7" i="1"/>
  <c r="AC8" i="1"/>
  <c r="AC10" i="1"/>
  <c r="AC11" i="1"/>
  <c r="AC12" i="1"/>
  <c r="AC13" i="1"/>
  <c r="AC14" i="1"/>
  <c r="AC15" i="1"/>
  <c r="AC16" i="1"/>
  <c r="AC17" i="1"/>
  <c r="AC18" i="1"/>
  <c r="AC20" i="1"/>
  <c r="AC21" i="1"/>
  <c r="AC22" i="1"/>
  <c r="AC23" i="1"/>
  <c r="AC25" i="1"/>
  <c r="AC26" i="1"/>
  <c r="AC27" i="1"/>
  <c r="AC28" i="1"/>
  <c r="AC29" i="1"/>
  <c r="AC30" i="1"/>
  <c r="AC6" i="1"/>
  <c r="AB7" i="1"/>
  <c r="AB8" i="1"/>
  <c r="AB10" i="1"/>
  <c r="AB11" i="1"/>
  <c r="AB12" i="1"/>
  <c r="AB13" i="1"/>
  <c r="AB14" i="1"/>
  <c r="AB15" i="1"/>
  <c r="AB16" i="1"/>
  <c r="AB17" i="1"/>
  <c r="AB18" i="1"/>
  <c r="AB20" i="1"/>
  <c r="AB21" i="1"/>
  <c r="AB22" i="1"/>
  <c r="AB23" i="1"/>
  <c r="AB25" i="1"/>
  <c r="AB26" i="1"/>
  <c r="AB27" i="1"/>
  <c r="AB28" i="1"/>
  <c r="AB29" i="1"/>
  <c r="AB30" i="1"/>
  <c r="AB6" i="1"/>
  <c r="P23" i="1"/>
  <c r="P24" i="1"/>
  <c r="AB24" i="1" s="1"/>
  <c r="P25" i="1"/>
  <c r="P26" i="1"/>
  <c r="P27" i="1"/>
  <c r="P28" i="1"/>
  <c r="P29" i="1"/>
  <c r="P30" i="1"/>
  <c r="P22" i="1"/>
  <c r="P7" i="1"/>
  <c r="P8" i="1"/>
  <c r="P9" i="1"/>
  <c r="AC9" i="1" s="1"/>
  <c r="P10" i="1"/>
  <c r="P11" i="1"/>
  <c r="P12" i="1"/>
  <c r="P13" i="1"/>
  <c r="P14" i="1"/>
  <c r="P15" i="1"/>
  <c r="P16" i="1"/>
  <c r="P17" i="1"/>
  <c r="P18" i="1"/>
  <c r="P19" i="1"/>
  <c r="AC19" i="1" s="1"/>
  <c r="P20" i="1"/>
  <c r="P6" i="1"/>
  <c r="G7" i="3"/>
  <c r="H7" i="3"/>
  <c r="G10" i="3"/>
  <c r="H10" i="3"/>
  <c r="G13" i="3"/>
  <c r="H13" i="3"/>
  <c r="G16" i="3"/>
  <c r="H16" i="3"/>
  <c r="G4" i="3"/>
  <c r="H4" i="3"/>
  <c r="B19" i="3"/>
  <c r="C19" i="3"/>
  <c r="D19" i="3"/>
  <c r="E19" i="3"/>
  <c r="F19" i="3"/>
  <c r="M19" i="2"/>
  <c r="N19" i="2"/>
  <c r="O19" i="2"/>
  <c r="P19" i="2"/>
  <c r="Q19" i="2"/>
  <c r="T19" i="2"/>
  <c r="U19" i="2"/>
  <c r="I19" i="2"/>
  <c r="J19" i="2"/>
  <c r="C19" i="2"/>
  <c r="D19" i="2"/>
  <c r="E19" i="2"/>
  <c r="F19" i="2"/>
  <c r="R16" i="2"/>
  <c r="S16" i="2"/>
  <c r="R13" i="2"/>
  <c r="S13" i="2"/>
  <c r="R10" i="2"/>
  <c r="S10" i="2"/>
  <c r="R7" i="2"/>
  <c r="S7" i="2"/>
  <c r="R4" i="2"/>
  <c r="S4" i="2"/>
  <c r="G7" i="2"/>
  <c r="H7" i="2"/>
  <c r="G10" i="2"/>
  <c r="H10" i="2"/>
  <c r="G13" i="2"/>
  <c r="H13" i="2"/>
  <c r="G16" i="2"/>
  <c r="H16" i="2"/>
  <c r="G4" i="2"/>
  <c r="H4" i="2"/>
  <c r="R19" i="2"/>
  <c r="S19" i="2"/>
  <c r="G19" i="3"/>
  <c r="G19" i="2"/>
  <c r="H19" i="2"/>
  <c r="AC24" i="1" l="1"/>
  <c r="AB9" i="1"/>
  <c r="AB19" i="1"/>
</calcChain>
</file>

<file path=xl/sharedStrings.xml><?xml version="1.0" encoding="utf-8"?>
<sst xmlns="http://schemas.openxmlformats.org/spreadsheetml/2006/main" count="294" uniqueCount="134">
  <si>
    <t xml:space="preserve">Grand total </t>
  </si>
  <si>
    <t>Month</t>
  </si>
  <si>
    <t>July,23</t>
  </si>
  <si>
    <t>Aug,23</t>
  </si>
  <si>
    <t>Sep,23</t>
  </si>
  <si>
    <t>Oct,23</t>
  </si>
  <si>
    <t>Total</t>
  </si>
  <si>
    <t>Test by Reagent</t>
  </si>
  <si>
    <t>Cholestrol T &amp; D</t>
  </si>
  <si>
    <t>HDL Cholestrol</t>
  </si>
  <si>
    <t>Triglyceride</t>
  </si>
  <si>
    <t>CRP</t>
  </si>
  <si>
    <t>RA Factor</t>
  </si>
  <si>
    <t xml:space="preserve">Glucose </t>
  </si>
  <si>
    <t xml:space="preserve">Hemoglobin </t>
  </si>
  <si>
    <t>Creatinine</t>
  </si>
  <si>
    <t>Albumin</t>
  </si>
  <si>
    <t xml:space="preserve">Total Protein </t>
  </si>
  <si>
    <t>SGOT</t>
  </si>
  <si>
    <t>SGPT</t>
  </si>
  <si>
    <t>Uric Acid</t>
  </si>
  <si>
    <t>Urea</t>
  </si>
  <si>
    <t>Total (A)</t>
  </si>
  <si>
    <t>Test by Kit</t>
  </si>
  <si>
    <t>Dangue</t>
  </si>
  <si>
    <t>Maleria</t>
  </si>
  <si>
    <t>Typhoid</t>
  </si>
  <si>
    <t>HbSAg</t>
  </si>
  <si>
    <t>Total (B)</t>
  </si>
  <si>
    <t>Total(A+B)</t>
  </si>
  <si>
    <t>Target</t>
  </si>
  <si>
    <t xml:space="preserve">% ach. </t>
  </si>
  <si>
    <t xml:space="preserve">No. of MMU Days </t>
  </si>
  <si>
    <t>Name of Block</t>
  </si>
  <si>
    <t>Total Target 22days/month</t>
  </si>
  <si>
    <t xml:space="preserve">Achievements </t>
  </si>
  <si>
    <t xml:space="preserve">Total Ach. In No. </t>
  </si>
  <si>
    <t xml:space="preserve"> Ach. In %</t>
  </si>
  <si>
    <t>Planned for Nov,23</t>
  </si>
  <si>
    <t xml:space="preserve">MMU No.  </t>
  </si>
  <si>
    <t>(Vehicle No.  )</t>
  </si>
  <si>
    <t xml:space="preserve">Block: </t>
  </si>
  <si>
    <t xml:space="preserve">Total/Average </t>
  </si>
  <si>
    <t>Note:</t>
  </si>
  <si>
    <t>below 90%=Red, 90-95%=Yellow, 95-100%=Green</t>
  </si>
  <si>
    <t xml:space="preserve">No. of OPD Session </t>
  </si>
  <si>
    <t>Total Target 22days x 2 session/month</t>
  </si>
  <si>
    <t xml:space="preserve">Acheivment </t>
  </si>
  <si>
    <t xml:space="preserve">No. of MMU Patients  </t>
  </si>
  <si>
    <t>Total Target 22days x 60 Patients x 4 month</t>
  </si>
  <si>
    <t xml:space="preserve">Pathological Tests  </t>
  </si>
  <si>
    <t>Total Targ. 22days/mon. x 25test/day x 4 mon.</t>
  </si>
  <si>
    <t>Nov,23</t>
  </si>
  <si>
    <t>Sep,,23</t>
  </si>
  <si>
    <t>Oct.23</t>
  </si>
  <si>
    <t>Total Ach. In No.</t>
  </si>
  <si>
    <t>Ach. Till date in No.</t>
  </si>
  <si>
    <t>Ach. Till date in %.</t>
  </si>
  <si>
    <t>Kit1</t>
  </si>
  <si>
    <t>Reagents1</t>
  </si>
  <si>
    <t>Total1</t>
  </si>
  <si>
    <t>Kit2</t>
  </si>
  <si>
    <t>Reagents2</t>
  </si>
  <si>
    <t>Total2</t>
  </si>
  <si>
    <t>Kit3</t>
  </si>
  <si>
    <t>Reagents3</t>
  </si>
  <si>
    <t>Total3</t>
  </si>
  <si>
    <t>Kit4</t>
  </si>
  <si>
    <t>Reagents4</t>
  </si>
  <si>
    <t>Total4</t>
  </si>
  <si>
    <t>Total through Kit</t>
  </si>
  <si>
    <t>Total Through Reagents</t>
  </si>
  <si>
    <t>Total Test</t>
  </si>
  <si>
    <t xml:space="preserve">Av. Test done per month </t>
  </si>
  <si>
    <t xml:space="preserve">Av. Test done per day </t>
  </si>
  <si>
    <t xml:space="preserve">Av. Test done per session </t>
  </si>
  <si>
    <t xml:space="preserve">No. of patients tested </t>
  </si>
  <si>
    <t xml:space="preserve">Av. Patients tested per month </t>
  </si>
  <si>
    <t xml:space="preserve">Av. Patients tested per day </t>
  </si>
  <si>
    <t xml:space="preserve">Av. Patients tested per session  </t>
  </si>
  <si>
    <t xml:space="preserve">Less than 80%=Red, 80-90%=Yellow, 90-100%Green  </t>
  </si>
  <si>
    <t>S.No.</t>
  </si>
  <si>
    <t>Targeted No. of VHWs</t>
  </si>
  <si>
    <t>Selection Status as on 1st Nov,23</t>
  </si>
  <si>
    <t>No. of VHWs on board from 1st Nov,23</t>
  </si>
  <si>
    <t>Planned date for completion of rest no. of VHWs (if any)</t>
  </si>
  <si>
    <t xml:space="preserve">Planned Date of training for selected VHWs </t>
  </si>
  <si>
    <t>Note(if any)</t>
  </si>
  <si>
    <t xml:space="preserve">No. of phisical verification done </t>
  </si>
  <si>
    <t xml:space="preserve">Date of verication </t>
  </si>
  <si>
    <t>Stock Register of Medicine updated</t>
  </si>
  <si>
    <t>Stock Register of Reagents and consumables updated</t>
  </si>
  <si>
    <t>All Equipments</t>
  </si>
  <si>
    <t>Log book</t>
  </si>
  <si>
    <t>Remark (if any)</t>
  </si>
  <si>
    <t xml:space="preserve">Yes </t>
  </si>
  <si>
    <t>No</t>
  </si>
  <si>
    <t xml:space="preserve">Register verses physical stock matched </t>
  </si>
  <si>
    <t>Sig. of PC/SPC done (Y/N)</t>
  </si>
  <si>
    <t>Available</t>
  </si>
  <si>
    <t xml:space="preserve">Functional </t>
  </si>
  <si>
    <t xml:space="preserve">Updated </t>
  </si>
  <si>
    <t>Yes</t>
  </si>
  <si>
    <t>Ach. Till date 13/11/2023</t>
  </si>
  <si>
    <t>MMU No.  16</t>
  </si>
  <si>
    <t>Vehicle No. JH05DK2020</t>
  </si>
  <si>
    <t>MMU No.  17</t>
  </si>
  <si>
    <t>Vehicle No. JH05DK2840</t>
  </si>
  <si>
    <t>Block: POTKA</t>
  </si>
  <si>
    <t>Block: JUGSALAI</t>
  </si>
  <si>
    <t>MMU No.  18</t>
  </si>
  <si>
    <t>Block: PATAMADA&amp;BORAM</t>
  </si>
  <si>
    <t>MMU No.  19</t>
  </si>
  <si>
    <t>Vehicle No. JH05DK2906</t>
  </si>
  <si>
    <t>Block:GHATSHILLA&amp;MUSABANI</t>
  </si>
  <si>
    <t>MMU No.  20</t>
  </si>
  <si>
    <t>Vehicle No. JH05DK6660</t>
  </si>
  <si>
    <t>Block: DHALBHUMGARH&amp;GURABANDA</t>
  </si>
  <si>
    <t>JUGSALAI</t>
  </si>
  <si>
    <t>POTKA</t>
  </si>
  <si>
    <t>PATAMADA&amp;BORAM</t>
  </si>
  <si>
    <t>GHATSHILLA&amp;MUSABANI</t>
  </si>
  <si>
    <t>DHALBHUMGARH&amp;GURABANDA</t>
  </si>
  <si>
    <t>Vehicle No.JH05DK3009</t>
  </si>
  <si>
    <t>Vehicle No.JH05DK6660</t>
  </si>
  <si>
    <t>Block: PATAMDA&amp;BORAM</t>
  </si>
  <si>
    <t>Block: GHATSHILLA&amp;MUSABANI</t>
  </si>
  <si>
    <t>Vehicle No.  JH05DK3009</t>
  </si>
  <si>
    <t>Vehicle No. JH05DK3009</t>
  </si>
  <si>
    <t>Block:DHALBHUMGARH&amp;GURABANDA</t>
  </si>
  <si>
    <t>COUNT</t>
  </si>
  <si>
    <t>COUNTA</t>
  </si>
  <si>
    <t>COUNTBLANK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</si>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</sst>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</font>
    <font>
      <b/>
      <sz val="9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name val="Arial"/>
      <family val="2"/>
    </font>
    <font>
      <b/>
      <sz val="11"/>
      <color rgb="FF000000"/>
      <name val="Calibri"/>
      <family val="2"/>
    </font>
    <font>
      <b/>
      <sz val="6"/>
      <color rgb="FF000000"/>
      <name val="Calibri"/>
      <family val="2"/>
    </font>
    <font>
      <b/>
      <sz val="7"/>
      <color rgb="FF000000"/>
      <name val="Calibri"/>
      <family val="2"/>
    </font>
    <font>
      <sz val="7"/>
      <color rgb="FF000000"/>
      <name val="Calibri"/>
      <family val="2"/>
    </font>
    <font>
      <sz val="6"/>
      <color rgb="FF000000"/>
      <name val="Calibri"/>
      <family val="2"/>
    </font>
    <font>
      <b/>
      <sz val="8"/>
      <color rgb="FF000000"/>
      <name val="Calibri"/>
      <family val="2"/>
    </font>
    <font>
      <b/>
      <sz val="13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B0F0"/>
      </patternFill>
    </fill>
  </fills>
  <borders count="4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left" wrapText="1" readingOrder="1"/>
    </xf>
    <xf numFmtId="0" fontId="4" fillId="0" borderId="6" xfId="0" applyFont="1" applyBorder="1" applyAlignment="1">
      <alignment horizontal="left" wrapText="1" readingOrder="1"/>
    </xf>
    <xf numFmtId="0" fontId="4" fillId="0" borderId="7" xfId="0" applyFont="1" applyBorder="1" applyAlignment="1">
      <alignment horizontal="left" wrapText="1" readingOrder="1"/>
    </xf>
    <xf numFmtId="0" fontId="2" fillId="0" borderId="14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left" wrapText="1" readingOrder="1"/>
    </xf>
    <xf numFmtId="0" fontId="4" fillId="0" borderId="15" xfId="0" applyFont="1" applyBorder="1" applyAlignment="1">
      <alignment horizontal="left" wrapText="1" readingOrder="1"/>
    </xf>
    <xf numFmtId="0" fontId="4" fillId="0" borderId="14" xfId="0" applyFont="1" applyBorder="1" applyAlignment="1">
      <alignment horizontal="left" wrapText="1" readingOrder="1"/>
    </xf>
    <xf numFmtId="0" fontId="4" fillId="0" borderId="5" xfId="0" applyFont="1" applyBorder="1" applyAlignment="1">
      <alignment horizontal="left" wrapText="1" readingOrder="1"/>
    </xf>
    <xf numFmtId="0" fontId="4" fillId="0" borderId="12" xfId="0" applyFont="1" applyBorder="1" applyAlignment="1">
      <alignment horizontal="left" wrapText="1" readingOrder="1"/>
    </xf>
    <xf numFmtId="0" fontId="4" fillId="0" borderId="3" xfId="0" applyFont="1" applyBorder="1" applyAlignment="1">
      <alignment horizontal="left" wrapText="1" readingOrder="1"/>
    </xf>
    <xf numFmtId="0" fontId="4" fillId="0" borderId="8" xfId="0" applyFont="1" applyBorder="1" applyAlignment="1">
      <alignment horizontal="left" wrapText="1" readingOrder="1"/>
    </xf>
    <xf numFmtId="0" fontId="4" fillId="0" borderId="25" xfId="0" applyFont="1" applyBorder="1" applyAlignment="1">
      <alignment horizontal="left" wrapText="1" readingOrder="1"/>
    </xf>
    <xf numFmtId="0" fontId="4" fillId="0" borderId="26" xfId="0" applyFont="1" applyBorder="1" applyAlignment="1">
      <alignment horizontal="left" wrapText="1" readingOrder="1"/>
    </xf>
    <xf numFmtId="0" fontId="4" fillId="0" borderId="27" xfId="0" applyFont="1" applyBorder="1" applyAlignment="1">
      <alignment horizontal="left" wrapText="1" readingOrder="1"/>
    </xf>
    <xf numFmtId="0" fontId="2" fillId="0" borderId="28" xfId="0" applyFont="1" applyBorder="1" applyAlignment="1">
      <alignment horizontal="left" wrapText="1" readingOrder="1"/>
    </xf>
    <xf numFmtId="0" fontId="2" fillId="0" borderId="29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left" wrapText="1" readingOrder="1"/>
    </xf>
    <xf numFmtId="0" fontId="4" fillId="0" borderId="16" xfId="0" applyFont="1" applyBorder="1" applyAlignment="1">
      <alignment horizontal="left" wrapText="1" readingOrder="1"/>
    </xf>
    <xf numFmtId="0" fontId="2" fillId="0" borderId="31" xfId="0" applyFont="1" applyBorder="1" applyAlignment="1">
      <alignment horizontal="left" wrapText="1" readingOrder="1"/>
    </xf>
    <xf numFmtId="0" fontId="4" fillId="0" borderId="31" xfId="0" applyFont="1" applyBorder="1" applyAlignment="1">
      <alignment horizontal="left" wrapText="1" readingOrder="1"/>
    </xf>
    <xf numFmtId="0" fontId="4" fillId="0" borderId="32" xfId="0" applyFont="1" applyBorder="1" applyAlignment="1">
      <alignment horizontal="left" wrapText="1" readingOrder="1"/>
    </xf>
    <xf numFmtId="0" fontId="4" fillId="0" borderId="33" xfId="0" applyFont="1" applyBorder="1" applyAlignment="1">
      <alignment horizontal="left" wrapText="1" readingOrder="1"/>
    </xf>
    <xf numFmtId="0" fontId="4" fillId="0" borderId="35" xfId="0" applyFont="1" applyBorder="1" applyAlignment="1">
      <alignment horizontal="left" wrapText="1" readingOrder="1"/>
    </xf>
    <xf numFmtId="0" fontId="4" fillId="0" borderId="9" xfId="0" applyFont="1" applyBorder="1" applyAlignment="1">
      <alignment horizontal="left" wrapText="1" readingOrder="1"/>
    </xf>
    <xf numFmtId="0" fontId="4" fillId="4" borderId="33" xfId="0" applyFont="1" applyFill="1" applyBorder="1" applyAlignment="1">
      <alignment horizontal="left" wrapText="1" readingOrder="1"/>
    </xf>
    <xf numFmtId="0" fontId="4" fillId="4" borderId="34" xfId="0" applyFont="1" applyFill="1" applyBorder="1" applyAlignment="1">
      <alignment horizontal="left" wrapText="1" readingOrder="1"/>
    </xf>
    <xf numFmtId="0" fontId="4" fillId="4" borderId="36" xfId="0" applyFont="1" applyFill="1" applyBorder="1" applyAlignment="1">
      <alignment horizontal="left" wrapText="1" readingOrder="1"/>
    </xf>
    <xf numFmtId="0" fontId="4" fillId="4" borderId="13" xfId="0" applyFont="1" applyFill="1" applyBorder="1" applyAlignment="1">
      <alignment horizontal="left" wrapText="1" readingOrder="1"/>
    </xf>
    <xf numFmtId="0" fontId="4" fillId="0" borderId="37" xfId="0" applyFont="1" applyBorder="1" applyAlignment="1">
      <alignment horizontal="left" wrapText="1" readingOrder="1"/>
    </xf>
    <xf numFmtId="0" fontId="4" fillId="0" borderId="11" xfId="0" applyFont="1" applyBorder="1" applyAlignment="1">
      <alignment horizontal="left" wrapText="1" readingOrder="1"/>
    </xf>
    <xf numFmtId="0" fontId="2" fillId="4" borderId="16" xfId="0" applyFont="1" applyFill="1" applyBorder="1" applyAlignment="1">
      <alignment horizontal="left" wrapText="1" readingOrder="1"/>
    </xf>
    <xf numFmtId="0" fontId="2" fillId="4" borderId="14" xfId="0" applyFont="1" applyFill="1" applyBorder="1" applyAlignment="1">
      <alignment horizontal="left" wrapText="1" readingOrder="1"/>
    </xf>
    <xf numFmtId="0" fontId="2" fillId="4" borderId="15" xfId="0" applyFont="1" applyFill="1" applyBorder="1" applyAlignment="1">
      <alignment horizontal="left" wrapText="1" readingOrder="1"/>
    </xf>
    <xf numFmtId="0" fontId="4" fillId="4" borderId="35" xfId="0" applyFont="1" applyFill="1" applyBorder="1" applyAlignment="1">
      <alignment horizontal="left" wrapText="1" readingOrder="1"/>
    </xf>
    <xf numFmtId="0" fontId="2" fillId="4" borderId="31" xfId="0" applyFont="1" applyFill="1" applyBorder="1" applyAlignment="1">
      <alignment horizontal="left" wrapText="1" readingOrder="1"/>
    </xf>
    <xf numFmtId="0" fontId="1" fillId="0" borderId="0" xfId="0" applyFont="1" applyAlignment="1">
      <alignment wrapText="1"/>
    </xf>
    <xf numFmtId="0" fontId="2" fillId="0" borderId="16" xfId="0" applyFont="1" applyBorder="1" applyAlignment="1">
      <alignment horizontal="center" wrapText="1" readingOrder="1"/>
    </xf>
    <xf numFmtId="0" fontId="2" fillId="0" borderId="35" xfId="0" applyFont="1" applyBorder="1" applyAlignment="1">
      <alignment horizontal="left" wrapText="1" readingOrder="1"/>
    </xf>
    <xf numFmtId="0" fontId="4" fillId="0" borderId="34" xfId="0" applyFont="1" applyBorder="1" applyAlignment="1">
      <alignment horizontal="right" wrapText="1" readingOrder="1"/>
    </xf>
    <xf numFmtId="0" fontId="4" fillId="0" borderId="36" xfId="0" applyFont="1" applyBorder="1" applyAlignment="1">
      <alignment horizontal="right" wrapText="1" readingOrder="1"/>
    </xf>
    <xf numFmtId="0" fontId="4" fillId="0" borderId="13" xfId="0" applyFont="1" applyBorder="1" applyAlignment="1">
      <alignment horizontal="right" wrapText="1" readingOrder="1"/>
    </xf>
    <xf numFmtId="0" fontId="4" fillId="0" borderId="33" xfId="0" applyFont="1" applyBorder="1" applyAlignment="1">
      <alignment horizontal="right" wrapText="1" readingOrder="1"/>
    </xf>
    <xf numFmtId="0" fontId="4" fillId="4" borderId="13" xfId="0" applyFont="1" applyFill="1" applyBorder="1" applyAlignment="1">
      <alignment horizontal="right" wrapText="1" readingOrder="1"/>
    </xf>
    <xf numFmtId="0" fontId="2" fillId="4" borderId="13" xfId="0" applyFont="1" applyFill="1" applyBorder="1" applyAlignment="1">
      <alignment horizontal="left" wrapText="1" readingOrder="1"/>
    </xf>
    <xf numFmtId="0" fontId="2" fillId="4" borderId="30" xfId="0" applyFont="1" applyFill="1" applyBorder="1" applyAlignment="1">
      <alignment horizontal="left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" fillId="0" borderId="6" xfId="0" applyFont="1" applyBorder="1" applyAlignment="1">
      <alignment horizontal="left" vertical="center" wrapText="1" readingOrder="1"/>
    </xf>
    <xf numFmtId="0" fontId="12" fillId="0" borderId="45" xfId="0" applyFont="1" applyBorder="1" applyAlignment="1">
      <alignment horizontal="left" vertical="center" wrapText="1" readingOrder="1"/>
    </xf>
    <xf numFmtId="0" fontId="12" fillId="0" borderId="7" xfId="0" applyFont="1" applyBorder="1" applyAlignment="1">
      <alignment horizontal="left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13" fillId="5" borderId="46" xfId="0" applyFont="1" applyFill="1" applyBorder="1" applyAlignment="1">
      <alignment horizontal="center" vertical="center" wrapText="1"/>
    </xf>
    <xf numFmtId="0" fontId="13" fillId="5" borderId="47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 readingOrder="1"/>
    </xf>
    <xf numFmtId="0" fontId="11" fillId="0" borderId="6" xfId="0" applyFont="1" applyBorder="1" applyAlignment="1">
      <alignment horizontal="left" wrapText="1" readingOrder="1"/>
    </xf>
    <xf numFmtId="0" fontId="11" fillId="0" borderId="45" xfId="0" applyFont="1" applyBorder="1" applyAlignment="1">
      <alignment horizontal="left" wrapText="1" readingOrder="1"/>
    </xf>
    <xf numFmtId="0" fontId="11" fillId="0" borderId="7" xfId="0" applyFont="1" applyBorder="1" applyAlignment="1">
      <alignment horizontal="left" wrapText="1" readingOrder="1"/>
    </xf>
    <xf numFmtId="0" fontId="11" fillId="0" borderId="2" xfId="0" applyFont="1" applyBorder="1" applyAlignment="1">
      <alignment horizontal="left" wrapText="1" readingOrder="1"/>
    </xf>
    <xf numFmtId="0" fontId="9" fillId="0" borderId="2" xfId="0" applyFont="1" applyBorder="1" applyAlignment="1">
      <alignment horizontal="left" wrapText="1" readingOrder="1"/>
    </xf>
    <xf numFmtId="0" fontId="17" fillId="0" borderId="2" xfId="0" applyFont="1" applyBorder="1" applyAlignment="1">
      <alignment horizontal="center" wrapText="1" readingOrder="1"/>
    </xf>
    <xf numFmtId="0" fontId="17" fillId="0" borderId="2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left" wrapText="1" readingOrder="1"/>
    </xf>
    <xf numFmtId="0" fontId="17" fillId="0" borderId="2" xfId="0" applyFont="1" applyBorder="1" applyAlignment="1">
      <alignment horizontal="left" vertical="center" wrapText="1" readingOrder="1"/>
    </xf>
    <xf numFmtId="0" fontId="12" fillId="0" borderId="2" xfId="0" applyFont="1" applyBorder="1" applyAlignment="1">
      <alignment horizontal="center" wrapText="1" readingOrder="1"/>
    </xf>
    <xf numFmtId="0" fontId="18" fillId="0" borderId="2" xfId="0" applyFont="1" applyBorder="1" applyAlignment="1">
      <alignment horizontal="left" wrapText="1" readingOrder="1"/>
    </xf>
    <xf numFmtId="0" fontId="21" fillId="0" borderId="2" xfId="0" applyFont="1" applyBorder="1" applyAlignment="1">
      <alignment horizontal="left" wrapText="1" readingOrder="1"/>
    </xf>
    <xf numFmtId="0" fontId="16" fillId="0" borderId="3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19" fillId="0" borderId="2" xfId="0" applyFont="1" applyBorder="1" applyAlignment="1">
      <alignment horizontal="left" wrapText="1" readingOrder="1"/>
    </xf>
    <xf numFmtId="0" fontId="20" fillId="0" borderId="2" xfId="0" applyFont="1" applyBorder="1" applyAlignment="1">
      <alignment horizontal="left" wrapText="1" readingOrder="1"/>
    </xf>
    <xf numFmtId="0" fontId="16" fillId="0" borderId="9" xfId="0" applyFont="1" applyBorder="1" applyAlignment="1">
      <alignment wrapText="1"/>
    </xf>
    <xf numFmtId="0" fontId="22" fillId="0" borderId="2" xfId="0" applyFont="1" applyBorder="1" applyAlignment="1">
      <alignment horizontal="left" wrapText="1" readingOrder="1"/>
    </xf>
    <xf numFmtId="14" fontId="13" fillId="6" borderId="46" xfId="0" applyNumberFormat="1" applyFont="1" applyFill="1" applyBorder="1" applyAlignment="1">
      <alignment horizontal="center" vertical="center" wrapText="1"/>
    </xf>
    <xf numFmtId="14" fontId="13" fillId="0" borderId="46" xfId="0" applyNumberFormat="1" applyFont="1" applyBorder="1" applyAlignment="1">
      <alignment horizontal="center" vertical="center"/>
    </xf>
    <xf numFmtId="14" fontId="13" fillId="0" borderId="46" xfId="0" applyNumberFormat="1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 readingOrder="1"/>
    </xf>
    <xf numFmtId="0" fontId="21" fillId="0" borderId="2" xfId="0" applyFont="1" applyBorder="1" applyAlignment="1">
      <alignment horizontal="left" vertical="center" wrapText="1" readingOrder="1"/>
    </xf>
    <xf numFmtId="0" fontId="2" fillId="0" borderId="41" xfId="0" applyFont="1" applyBorder="1" applyAlignment="1">
      <alignment horizontal="left" wrapText="1" readingOrder="1"/>
    </xf>
    <xf numFmtId="0" fontId="2" fillId="0" borderId="4" xfId="0" applyFont="1" applyBorder="1" applyAlignment="1">
      <alignment horizontal="left" wrapText="1" readingOrder="1"/>
    </xf>
    <xf numFmtId="0" fontId="2" fillId="0" borderId="44" xfId="0" applyFont="1" applyBorder="1" applyAlignment="1">
      <alignment horizontal="left" wrapText="1" readingOrder="1"/>
    </xf>
    <xf numFmtId="0" fontId="2" fillId="2" borderId="19" xfId="0" applyFont="1" applyFill="1" applyBorder="1" applyAlignment="1">
      <alignment horizontal="left" wrapText="1" readingOrder="1"/>
    </xf>
    <xf numFmtId="0" fontId="2" fillId="2" borderId="20" xfId="0" applyFont="1" applyFill="1" applyBorder="1" applyAlignment="1">
      <alignment horizontal="left" wrapText="1" readingOrder="1"/>
    </xf>
    <xf numFmtId="0" fontId="2" fillId="2" borderId="21" xfId="0" applyFont="1" applyFill="1" applyBorder="1" applyAlignment="1">
      <alignment horizontal="left" wrapText="1" readingOrder="1"/>
    </xf>
    <xf numFmtId="0" fontId="2" fillId="2" borderId="22" xfId="0" applyFont="1" applyFill="1" applyBorder="1" applyAlignment="1">
      <alignment horizontal="left" wrapText="1" readingOrder="1"/>
    </xf>
    <xf numFmtId="0" fontId="2" fillId="2" borderId="23" xfId="0" applyFont="1" applyFill="1" applyBorder="1" applyAlignment="1">
      <alignment horizontal="left" wrapText="1" readingOrder="1"/>
    </xf>
    <xf numFmtId="0" fontId="2" fillId="2" borderId="24" xfId="0" applyFont="1" applyFill="1" applyBorder="1" applyAlignment="1">
      <alignment horizontal="left" wrapText="1" readingOrder="1"/>
    </xf>
    <xf numFmtId="0" fontId="2" fillId="3" borderId="16" xfId="0" applyFont="1" applyFill="1" applyBorder="1" applyAlignment="1">
      <alignment horizontal="left" wrapText="1" readingOrder="1"/>
    </xf>
    <xf numFmtId="0" fontId="2" fillId="3" borderId="17" xfId="0" applyFont="1" applyFill="1" applyBorder="1" applyAlignment="1">
      <alignment horizontal="left" wrapText="1" readingOrder="1"/>
    </xf>
    <xf numFmtId="0" fontId="2" fillId="3" borderId="18" xfId="0" applyFont="1" applyFill="1" applyBorder="1" applyAlignment="1">
      <alignment horizontal="left" wrapText="1" readingOrder="1"/>
    </xf>
    <xf numFmtId="0" fontId="2" fillId="0" borderId="38" xfId="0" applyFont="1" applyBorder="1" applyAlignment="1">
      <alignment horizontal="left" wrapText="1" readingOrder="1"/>
    </xf>
    <xf numFmtId="0" fontId="2" fillId="0" borderId="39" xfId="0" applyFont="1" applyBorder="1" applyAlignment="1">
      <alignment horizontal="left" wrapText="1" readingOrder="1"/>
    </xf>
    <xf numFmtId="0" fontId="2" fillId="0" borderId="40" xfId="0" applyFont="1" applyBorder="1" applyAlignment="1">
      <alignment horizontal="left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43" xfId="0" applyFont="1" applyBorder="1" applyAlignment="1">
      <alignment horizontal="left" wrapText="1" readingOrder="1"/>
    </xf>
    <xf numFmtId="0" fontId="2" fillId="0" borderId="10" xfId="0" applyFont="1" applyBorder="1" applyAlignment="1">
      <alignment horizontal="left" wrapText="1" readingOrder="1"/>
    </xf>
    <xf numFmtId="0" fontId="2" fillId="0" borderId="42" xfId="0" applyFont="1" applyBorder="1" applyAlignment="1">
      <alignment horizontal="left" wrapText="1" readingOrder="1"/>
    </xf>
    <xf numFmtId="0" fontId="17" fillId="0" borderId="3" xfId="0" applyFont="1" applyBorder="1" applyAlignment="1">
      <alignment horizontal="center" vertical="top" wrapText="1" readingOrder="1"/>
    </xf>
    <xf numFmtId="0" fontId="17" fillId="0" borderId="4" xfId="0" applyFont="1" applyBorder="1" applyAlignment="1">
      <alignment horizontal="center" vertical="top" wrapText="1" readingOrder="1"/>
    </xf>
    <xf numFmtId="0" fontId="17" fillId="0" borderId="5" xfId="0" applyFont="1" applyBorder="1" applyAlignment="1">
      <alignment horizontal="center" vertical="top" wrapText="1" readingOrder="1"/>
    </xf>
    <xf numFmtId="0" fontId="14" fillId="0" borderId="6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 readingOrder="1"/>
    </xf>
    <xf numFmtId="0" fontId="13" fillId="0" borderId="45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45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 wrapText="1" readingOrder="1"/>
    </xf>
    <xf numFmtId="0" fontId="15" fillId="0" borderId="45" xfId="0" applyFont="1" applyBorder="1" applyAlignment="1">
      <alignment horizontal="center" vertical="center" wrapText="1" readingOrder="1"/>
    </xf>
    <xf numFmtId="0" fontId="15" fillId="0" borderId="7" xfId="0" applyFont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 readingOrder="1"/>
    </xf>
    <xf numFmtId="0" fontId="7" fillId="0" borderId="45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12" fillId="0" borderId="3" xfId="0" applyFont="1" applyBorder="1" applyAlignment="1">
      <alignment horizontal="center" wrapText="1" readingOrder="1"/>
    </xf>
    <xf numFmtId="0" fontId="12" fillId="0" borderId="4" xfId="0" applyFont="1" applyBorder="1" applyAlignment="1">
      <alignment horizontal="center" wrapText="1" readingOrder="1"/>
    </xf>
    <xf numFmtId="0" fontId="12" fillId="0" borderId="5" xfId="0" applyFont="1" applyBorder="1" applyAlignment="1">
      <alignment horizontal="center" wrapText="1" readingOrder="1"/>
    </xf>
    <xf numFmtId="0" fontId="11" fillId="0" borderId="6" xfId="0" applyFont="1" applyBorder="1" applyAlignment="1">
      <alignment horizontal="center" wrapText="1" readingOrder="1"/>
    </xf>
    <xf numFmtId="0" fontId="11" fillId="0" borderId="7" xfId="0" applyFont="1" applyBorder="1" applyAlignment="1">
      <alignment horizontal="center" wrapText="1" readingOrder="1"/>
    </xf>
    <xf numFmtId="0" fontId="11" fillId="0" borderId="3" xfId="0" applyFont="1" applyBorder="1" applyAlignment="1">
      <alignment horizontal="center" wrapText="1" readingOrder="1"/>
    </xf>
    <xf numFmtId="0" fontId="11" fillId="0" borderId="4" xfId="0" applyFont="1" applyBorder="1" applyAlignment="1">
      <alignment horizontal="center" wrapText="1" readingOrder="1"/>
    </xf>
    <xf numFmtId="0" fontId="11" fillId="0" borderId="5" xfId="0" applyFont="1" applyBorder="1" applyAlignment="1">
      <alignment horizontal="center" wrapText="1" readingOrder="1"/>
    </xf>
    <xf numFmtId="0" fontId="12" fillId="0" borderId="6" xfId="0" applyFont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top" wrapText="1" readingOrder="1"/>
    </xf>
    <xf numFmtId="0" fontId="8" fillId="0" borderId="4" xfId="0" applyFont="1" applyBorder="1" applyAlignment="1">
      <alignment horizontal="center" vertical="top" wrapText="1" readingOrder="1"/>
    </xf>
    <xf numFmtId="0" fontId="8" fillId="0" borderId="5" xfId="0" applyFont="1" applyBorder="1" applyAlignment="1">
      <alignment horizontal="center" vertical="top" wrapText="1" readingOrder="1"/>
    </xf>
    <xf numFmtId="0" fontId="5" fillId="0" borderId="3" xfId="0" applyFont="1" applyBorder="1" applyAlignment="1">
      <alignment horizontal="center" wrapText="1" readingOrder="1"/>
    </xf>
    <xf numFmtId="0" fontId="5" fillId="0" borderId="4" xfId="0" applyFont="1" applyBorder="1" applyAlignment="1">
      <alignment horizontal="center" wrapText="1" readingOrder="1"/>
    </xf>
    <xf numFmtId="0" fontId="5" fillId="0" borderId="5" xfId="0" applyFont="1" applyBorder="1" applyAlignment="1">
      <alignment horizont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wrapText="1" readingOrder="1"/>
    </xf>
    <xf numFmtId="0" fontId="13" fillId="0" borderId="45" xfId="0" applyFont="1" applyBorder="1" applyAlignment="1">
      <alignment horizontal="center" wrapText="1" readingOrder="1"/>
    </xf>
    <xf numFmtId="0" fontId="13" fillId="0" borderId="7" xfId="0" applyFont="1" applyBorder="1" applyAlignment="1">
      <alignment horizontal="center" wrapText="1" readingOrder="1"/>
    </xf>
    <xf numFmtId="0" fontId="10" fillId="0" borderId="6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0" fontId="10" fillId="0" borderId="6" xfId="0" applyFont="1" applyBorder="1" applyAlignment="1">
      <alignment horizontal="center" wrapText="1" readingOrder="1"/>
    </xf>
    <xf numFmtId="0" fontId="10" fillId="0" borderId="7" xfId="0" applyFont="1" applyBorder="1" applyAlignment="1">
      <alignment horizontal="center" wrapText="1" readingOrder="1"/>
    </xf>
    <xf numFmtId="0" fontId="19" fillId="0" borderId="3" xfId="0" applyFont="1" applyBorder="1" applyAlignment="1">
      <alignment horizontal="center" vertical="top" wrapText="1" readingOrder="1"/>
    </xf>
    <xf numFmtId="0" fontId="19" fillId="0" borderId="4" xfId="0" applyFont="1" applyBorder="1" applyAlignment="1">
      <alignment horizontal="center" vertical="top" wrapText="1" readingOrder="1"/>
    </xf>
    <xf numFmtId="0" fontId="19" fillId="0" borderId="5" xfId="0" applyFont="1" applyBorder="1" applyAlignment="1">
      <alignment horizontal="center" vertical="top" wrapText="1" readingOrder="1"/>
    </xf>
    <xf numFmtId="0" fontId="20" fillId="0" borderId="6" xfId="0" applyFont="1" applyBorder="1" applyAlignment="1">
      <alignment horizontal="center" wrapText="1" readingOrder="1"/>
    </xf>
    <xf numFmtId="0" fontId="20" fillId="0" borderId="45" xfId="0" applyFont="1" applyBorder="1" applyAlignment="1">
      <alignment horizontal="center" wrapText="1" readingOrder="1"/>
    </xf>
    <xf numFmtId="0" fontId="20" fillId="0" borderId="7" xfId="0" applyFont="1" applyBorder="1" applyAlignment="1">
      <alignment horizontal="center" wrapText="1" readingOrder="1"/>
    </xf>
    <xf numFmtId="0" fontId="4" fillId="0" borderId="6" xfId="0" applyFont="1" applyBorder="1" applyAlignment="1">
      <alignment horizontal="center" wrapText="1" readingOrder="1"/>
    </xf>
    <xf numFmtId="0" fontId="4" fillId="0" borderId="45" xfId="0" applyFont="1" applyBorder="1" applyAlignment="1">
      <alignment horizontal="center" wrapText="1" readingOrder="1"/>
    </xf>
    <xf numFmtId="0" fontId="4" fillId="0" borderId="7" xfId="0" applyFont="1" applyBorder="1" applyAlignment="1">
      <alignment horizontal="center" wrapText="1" readingOrder="1"/>
    </xf>
    <xf numFmtId="0" fontId="19" fillId="0" borderId="6" xfId="0" applyFont="1" applyBorder="1" applyAlignment="1">
      <alignment horizontal="center" wrapText="1" readingOrder="1"/>
    </xf>
    <xf numFmtId="0" fontId="19" fillId="0" borderId="45" xfId="0" applyFont="1" applyBorder="1" applyAlignment="1">
      <alignment horizontal="center" wrapText="1" readingOrder="1"/>
    </xf>
    <xf numFmtId="0" fontId="19" fillId="0" borderId="7" xfId="0" applyFont="1" applyBorder="1" applyAlignment="1">
      <alignment horizontal="center" wrapText="1" readingOrder="1"/>
    </xf>
    <xf numFmtId="0" fontId="2" fillId="0" borderId="6" xfId="0" applyFont="1" applyBorder="1" applyAlignment="1">
      <alignment horizontal="center" wrapText="1" readingOrder="1"/>
    </xf>
    <xf numFmtId="0" fontId="2" fillId="0" borderId="45" xfId="0" applyFont="1" applyBorder="1" applyAlignment="1">
      <alignment horizontal="center" wrapText="1" readingOrder="1"/>
    </xf>
    <xf numFmtId="0" fontId="2" fillId="0" borderId="7" xfId="0" applyFont="1" applyBorder="1" applyAlignment="1">
      <alignment horizontal="center" wrapText="1" readingOrder="1"/>
    </xf>
    <xf numFmtId="0" fontId="2" fillId="0" borderId="6" xfId="0" applyFont="1" applyBorder="1" applyAlignment="1">
      <alignment horizontal="left" vertical="center" wrapText="1" readingOrder="1"/>
    </xf>
    <xf numFmtId="0" fontId="2" fillId="0" borderId="45" xfId="0" applyFont="1" applyBorder="1" applyAlignment="1">
      <alignment horizontal="left" vertical="center" wrapText="1" readingOrder="1"/>
    </xf>
    <xf numFmtId="0" fontId="2" fillId="0" borderId="7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left" wrapText="1" readingOrder="1"/>
    </xf>
    <xf numFmtId="0" fontId="4" fillId="0" borderId="45" xfId="0" applyFont="1" applyBorder="1" applyAlignment="1">
      <alignment horizontal="left" wrapText="1" readingOrder="1"/>
    </xf>
    <xf numFmtId="0" fontId="4" fillId="0" borderId="7" xfId="0" applyFont="1" applyBorder="1" applyAlignment="1">
      <alignment horizontal="left" wrapText="1" readingOrder="1"/>
    </xf>
    <xf numFmtId="0" fontId="12" fillId="0" borderId="12" xfId="0" applyFont="1" applyBorder="1" applyAlignment="1">
      <alignment horizontal="center" wrapText="1" readingOrder="1"/>
    </xf>
    <xf numFmtId="0" fontId="12" fillId="0" borderId="48" xfId="0" applyFont="1" applyBorder="1" applyAlignment="1">
      <alignment horizontal="center" wrapText="1" readingOrder="1"/>
    </xf>
    <xf numFmtId="0" fontId="17" fillId="0" borderId="6" xfId="0" applyFont="1" applyBorder="1" applyAlignment="1">
      <alignment horizontal="center" vertical="center" wrapText="1" readingOrder="1"/>
    </xf>
    <xf numFmtId="0" fontId="17" fillId="0" borderId="45" xfId="0" applyFont="1" applyBorder="1" applyAlignment="1">
      <alignment horizontal="center" vertical="center" wrapText="1" readingOrder="1"/>
    </xf>
    <xf numFmtId="0" fontId="17" fillId="0" borderId="7" xfId="0" applyFont="1" applyBorder="1" applyAlignment="1">
      <alignment horizontal="center" vertical="center" wrapText="1" readingOrder="1"/>
    </xf>
    <xf numFmtId="0" fontId="12" fillId="0" borderId="45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wrapText="1" readingOrder="1"/>
    </xf>
    <xf numFmtId="0" fontId="10" fillId="0" borderId="4" xfId="0" applyFont="1" applyBorder="1" applyAlignment="1">
      <alignment horizontal="center" wrapText="1" readingOrder="1"/>
    </xf>
    <xf numFmtId="0" fontId="10" fillId="0" borderId="5" xfId="0" applyFont="1" applyBorder="1" applyAlignment="1">
      <alignment horizontal="center" wrapText="1" readingOrder="1"/>
    </xf>
    <xf numFmtId="0" fontId="23" fillId="0" borderId="3" xfId="0" applyFont="1" applyBorder="1" applyAlignment="1">
      <alignment horizontal="left" wrapText="1" readingOrder="1"/>
    </xf>
    <xf numFmtId="0" fontId="23" fillId="0" borderId="4" xfId="0" applyFont="1" applyBorder="1" applyAlignment="1">
      <alignment horizontal="left" wrapText="1" readingOrder="1"/>
    </xf>
    <xf numFmtId="0" fontId="17" fillId="0" borderId="3" xfId="0" applyFont="1" applyBorder="1" applyAlignment="1">
      <alignment horizontal="center" vertical="center" wrapText="1" readingOrder="1"/>
    </xf>
    <xf numFmtId="0" fontId="17" fillId="0" borderId="4" xfId="0" applyFont="1" applyBorder="1" applyAlignment="1">
      <alignment horizontal="center" vertical="center" wrapText="1" readingOrder="1"/>
    </xf>
    <xf numFmtId="0" fontId="17" fillId="0" borderId="5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wrapText="1" readingOrder="1"/>
    </xf>
    <xf numFmtId="0" fontId="9" fillId="0" borderId="45" xfId="0" applyFont="1" applyBorder="1" applyAlignment="1">
      <alignment horizontal="center" wrapText="1" readingOrder="1"/>
    </xf>
    <xf numFmtId="0" fontId="9" fillId="0" borderId="7" xfId="0" applyFont="1" applyBorder="1" applyAlignment="1">
      <alignment horizontal="center" wrapText="1" readingOrder="1"/>
    </xf>
    <xf numFmtId="0" fontId="11" fillId="0" borderId="45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F840-11BB-4CFE-A1AA-D002F9EE550E}">
  <dimension ref="A1:AE30"/>
  <sheetViews>
    <sheetView tabSelected="1" zoomScale="70" zoomScaleNormal="70" workbookViewId="0">
      <selection activeCell="AG31" sqref="AG31"/>
    </sheetView>
  </sheetViews>
  <sheetFormatPr defaultColWidth="8.77734375" defaultRowHeight="15.75" x14ac:dyDescent="0.3"/>
  <cols>
    <col min="1" max="1" width="22.88671875" style="1" customWidth="1"/>
    <col min="2" max="16384" width="8.77734375" style="1"/>
  </cols>
  <sheetData>
    <row r="1" spans="1:31" x14ac:dyDescent="0.3">
      <c r="A1" s="37"/>
      <c r="B1" s="96" t="s">
        <v>105</v>
      </c>
      <c r="C1" s="97"/>
      <c r="D1" s="97"/>
      <c r="E1" s="97"/>
      <c r="F1" s="98"/>
      <c r="G1" s="96" t="s">
        <v>107</v>
      </c>
      <c r="H1" s="97"/>
      <c r="I1" s="97"/>
      <c r="J1" s="97"/>
      <c r="K1" s="98"/>
      <c r="L1" s="96" t="s">
        <v>128</v>
      </c>
      <c r="M1" s="97"/>
      <c r="N1" s="97"/>
      <c r="O1" s="97"/>
      <c r="P1" s="98"/>
      <c r="Q1" s="96" t="s">
        <v>113</v>
      </c>
      <c r="R1" s="97"/>
      <c r="S1" s="97"/>
      <c r="T1" s="97"/>
      <c r="U1" s="98"/>
      <c r="V1" s="96" t="s">
        <v>116</v>
      </c>
      <c r="W1" s="97"/>
      <c r="X1" s="97"/>
      <c r="Y1" s="97"/>
      <c r="Z1" s="98"/>
      <c r="AA1" s="99" t="s">
        <v>0</v>
      </c>
    </row>
    <row r="2" spans="1:31" ht="16.399999999999999" thickBot="1" x14ac:dyDescent="0.35">
      <c r="A2" s="37"/>
      <c r="B2" s="101" t="s">
        <v>109</v>
      </c>
      <c r="C2" s="102"/>
      <c r="D2" s="102"/>
      <c r="E2" s="102"/>
      <c r="F2" s="103"/>
      <c r="G2" s="84" t="s">
        <v>108</v>
      </c>
      <c r="H2" s="85"/>
      <c r="I2" s="85"/>
      <c r="J2" s="85"/>
      <c r="K2" s="86"/>
      <c r="L2" s="84" t="s">
        <v>125</v>
      </c>
      <c r="M2" s="85"/>
      <c r="N2" s="85"/>
      <c r="O2" s="85"/>
      <c r="P2" s="86"/>
      <c r="Q2" s="84" t="s">
        <v>126</v>
      </c>
      <c r="R2" s="85"/>
      <c r="S2" s="85"/>
      <c r="T2" s="85"/>
      <c r="U2" s="86"/>
      <c r="V2" s="84" t="s">
        <v>129</v>
      </c>
      <c r="W2" s="85"/>
      <c r="X2" s="85"/>
      <c r="Y2" s="85"/>
      <c r="Z2" s="86"/>
      <c r="AA2" s="100"/>
    </row>
    <row r="3" spans="1:31" ht="16.399999999999999" thickBot="1" x14ac:dyDescent="0.35">
      <c r="A3" s="38" t="s">
        <v>1</v>
      </c>
      <c r="B3" s="5" t="s">
        <v>2</v>
      </c>
      <c r="C3" s="6" t="s">
        <v>3</v>
      </c>
      <c r="D3" s="6" t="s">
        <v>4</v>
      </c>
      <c r="E3" s="39" t="s">
        <v>5</v>
      </c>
      <c r="F3" s="45" t="s">
        <v>6</v>
      </c>
      <c r="G3" s="16" t="s">
        <v>2</v>
      </c>
      <c r="H3" s="17" t="s">
        <v>3</v>
      </c>
      <c r="I3" s="17" t="s">
        <v>4</v>
      </c>
      <c r="J3" s="17" t="s">
        <v>5</v>
      </c>
      <c r="K3" s="46" t="s">
        <v>6</v>
      </c>
      <c r="L3" s="16" t="s">
        <v>2</v>
      </c>
      <c r="M3" s="17" t="s">
        <v>3</v>
      </c>
      <c r="N3" s="17" t="s">
        <v>4</v>
      </c>
      <c r="O3" s="17" t="s">
        <v>5</v>
      </c>
      <c r="P3" s="46" t="s">
        <v>6</v>
      </c>
      <c r="Q3" s="16" t="s">
        <v>2</v>
      </c>
      <c r="R3" s="17" t="s">
        <v>3</v>
      </c>
      <c r="S3" s="17" t="s">
        <v>4</v>
      </c>
      <c r="T3" s="17" t="s">
        <v>5</v>
      </c>
      <c r="U3" s="46" t="s">
        <v>6</v>
      </c>
      <c r="V3" s="16" t="s">
        <v>2</v>
      </c>
      <c r="W3" s="17" t="s">
        <v>3</v>
      </c>
      <c r="X3" s="17" t="s">
        <v>4</v>
      </c>
      <c r="Y3" s="17" t="s">
        <v>5</v>
      </c>
      <c r="Z3" s="46" t="s">
        <v>6</v>
      </c>
      <c r="AA3" s="100"/>
    </row>
    <row r="4" spans="1:31" ht="16.399999999999999" thickBot="1" x14ac:dyDescent="0.35">
      <c r="A4" s="87" t="s">
        <v>7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9"/>
      <c r="AA4" s="100"/>
    </row>
    <row r="5" spans="1:31" ht="16.399999999999999" thickBot="1" x14ac:dyDescent="0.35">
      <c r="A5" s="90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2"/>
      <c r="AA5" s="23"/>
      <c r="AB5" s="1" t="s">
        <v>131</v>
      </c>
      <c r="AC5" s="1" t="s">
        <v>132</v>
      </c>
      <c r="AE5" s="1" t="s">
        <v>130</v>
      </c>
    </row>
    <row r="6" spans="1:31" ht="16.399999999999999" thickBot="1" x14ac:dyDescent="0.35">
      <c r="A6" s="10" t="s">
        <v>8</v>
      </c>
      <c r="B6" s="13"/>
      <c r="C6" s="14"/>
      <c r="D6" s="14"/>
      <c r="E6" s="22"/>
      <c r="F6" s="26"/>
      <c r="G6" s="13"/>
      <c r="H6" s="14"/>
      <c r="I6" s="14"/>
      <c r="J6" s="22"/>
      <c r="K6" s="26"/>
      <c r="L6" s="13">
        <v>0</v>
      </c>
      <c r="M6" s="13">
        <v>0</v>
      </c>
      <c r="N6" s="13">
        <v>0</v>
      </c>
      <c r="O6" s="13">
        <v>0</v>
      </c>
      <c r="P6" s="26">
        <f>SUM(L6:O6)</f>
        <v>0</v>
      </c>
      <c r="Q6" s="13">
        <v>0</v>
      </c>
      <c r="R6" s="14">
        <v>0</v>
      </c>
      <c r="S6" s="14">
        <v>0</v>
      </c>
      <c r="T6" s="22">
        <v>0</v>
      </c>
      <c r="U6" s="26">
        <v>0</v>
      </c>
      <c r="V6" s="13">
        <v>0</v>
      </c>
      <c r="W6" s="14">
        <v>0</v>
      </c>
      <c r="X6" s="14">
        <v>0</v>
      </c>
      <c r="Y6" s="22">
        <v>0</v>
      </c>
      <c r="Z6" s="26">
        <v>0</v>
      </c>
      <c r="AA6" s="40">
        <v>0</v>
      </c>
      <c r="AB6" s="1">
        <f>COUNTA(L6:Z6)</f>
        <v>15</v>
      </c>
      <c r="AC6" s="1">
        <f>COUNTBLANK(L6:Y6)</f>
        <v>0</v>
      </c>
      <c r="AE6" s="1">
        <f>COUNT(L6:Y6)</f>
        <v>14</v>
      </c>
    </row>
    <row r="7" spans="1:31" ht="16.399999999999999" thickBot="1" x14ac:dyDescent="0.35">
      <c r="A7" s="11" t="s">
        <v>9</v>
      </c>
      <c r="B7" s="15"/>
      <c r="C7" s="2"/>
      <c r="D7" s="2"/>
      <c r="E7" s="11"/>
      <c r="F7" s="27"/>
      <c r="G7" s="15"/>
      <c r="H7" s="2"/>
      <c r="I7" s="2"/>
      <c r="J7" s="11"/>
      <c r="K7" s="27"/>
      <c r="L7" s="13">
        <v>0</v>
      </c>
      <c r="M7" s="13">
        <v>0</v>
      </c>
      <c r="N7" s="13">
        <v>0</v>
      </c>
      <c r="O7" s="13">
        <v>0</v>
      </c>
      <c r="P7" s="26">
        <f t="shared" ref="P7:P20" si="0">SUM(L7:O7)</f>
        <v>0</v>
      </c>
      <c r="Q7" s="15">
        <v>0</v>
      </c>
      <c r="R7" s="2">
        <v>1</v>
      </c>
      <c r="S7" s="2">
        <v>0</v>
      </c>
      <c r="T7" s="11">
        <v>0</v>
      </c>
      <c r="U7" s="27">
        <v>1</v>
      </c>
      <c r="V7" s="15">
        <v>0</v>
      </c>
      <c r="W7" s="2">
        <v>0</v>
      </c>
      <c r="X7" s="2">
        <v>0</v>
      </c>
      <c r="Y7" s="11">
        <v>0</v>
      </c>
      <c r="Z7" s="27">
        <v>0</v>
      </c>
      <c r="AA7" s="40">
        <v>0</v>
      </c>
      <c r="AB7" s="1">
        <f t="shared" ref="AB7:AB30" si="1">COUNTA(L7:Z7)</f>
        <v>15</v>
      </c>
      <c r="AC7" s="1">
        <f t="shared" ref="AC7:AC30" si="2">COUNTBLANK(L7:Y7)</f>
        <v>0</v>
      </c>
      <c r="AE7" s="1">
        <f t="shared" ref="AE7:AE30" si="3">COUNT(L7:Y7)</f>
        <v>14</v>
      </c>
    </row>
    <row r="8" spans="1:31" ht="16.399999999999999" thickBot="1" x14ac:dyDescent="0.35">
      <c r="A8" s="11" t="s">
        <v>10</v>
      </c>
      <c r="B8" s="15"/>
      <c r="C8" s="2"/>
      <c r="D8" s="2"/>
      <c r="E8" s="11"/>
      <c r="F8" s="27"/>
      <c r="G8" s="15"/>
      <c r="H8" s="2"/>
      <c r="I8" s="2"/>
      <c r="J8" s="11"/>
      <c r="K8" s="27"/>
      <c r="L8" s="13">
        <v>0</v>
      </c>
      <c r="M8" s="13">
        <v>0</v>
      </c>
      <c r="N8" s="13">
        <v>0</v>
      </c>
      <c r="O8" s="13">
        <v>0</v>
      </c>
      <c r="P8" s="26">
        <f t="shared" si="0"/>
        <v>0</v>
      </c>
      <c r="Q8" s="15">
        <v>0</v>
      </c>
      <c r="R8" s="2">
        <v>0</v>
      </c>
      <c r="S8" s="2">
        <v>0</v>
      </c>
      <c r="T8" s="11">
        <v>0</v>
      </c>
      <c r="U8" s="27">
        <v>0</v>
      </c>
      <c r="V8" s="15">
        <v>0</v>
      </c>
      <c r="W8" s="2">
        <v>0</v>
      </c>
      <c r="X8" s="2">
        <v>0</v>
      </c>
      <c r="Y8" s="11">
        <v>0</v>
      </c>
      <c r="Z8" s="27">
        <v>0</v>
      </c>
      <c r="AA8" s="40">
        <v>0</v>
      </c>
      <c r="AB8" s="1">
        <f t="shared" si="1"/>
        <v>15</v>
      </c>
      <c r="AC8" s="1">
        <f t="shared" si="2"/>
        <v>0</v>
      </c>
      <c r="AE8" s="1">
        <f t="shared" si="3"/>
        <v>14</v>
      </c>
    </row>
    <row r="9" spans="1:31" ht="16.399999999999999" thickBot="1" x14ac:dyDescent="0.35">
      <c r="A9" s="11" t="s">
        <v>11</v>
      </c>
      <c r="B9" s="15"/>
      <c r="C9" s="2"/>
      <c r="D9" s="2"/>
      <c r="E9" s="11"/>
      <c r="F9" s="27"/>
      <c r="G9" s="15"/>
      <c r="H9" s="2"/>
      <c r="I9" s="2"/>
      <c r="J9" s="11"/>
      <c r="K9" s="27"/>
      <c r="L9" s="13">
        <v>0</v>
      </c>
      <c r="M9" s="13" t="s">
        <v>133</v>
      </c>
      <c r="N9" s="13">
        <v>0</v>
      </c>
      <c r="O9" s="13">
        <v>0</v>
      </c>
      <c r="P9" s="26">
        <f t="shared" si="0"/>
        <v>0</v>
      </c>
      <c r="Q9" s="15">
        <v>0</v>
      </c>
      <c r="R9" s="2">
        <v>0</v>
      </c>
      <c r="S9" s="2">
        <v>0</v>
      </c>
      <c r="T9" s="11">
        <v>0</v>
      </c>
      <c r="U9" s="27">
        <v>0</v>
      </c>
      <c r="V9" s="15">
        <v>0</v>
      </c>
      <c r="W9" s="2">
        <v>0</v>
      </c>
      <c r="X9" s="2">
        <v>0</v>
      </c>
      <c r="Y9" s="11">
        <v>0</v>
      </c>
      <c r="Z9" s="27">
        <v>0</v>
      </c>
      <c r="AA9" s="40">
        <v>0</v>
      </c>
      <c r="AB9" s="1">
        <f t="shared" si="1"/>
        <v>15</v>
      </c>
      <c r="AC9" s="1">
        <f t="shared" si="2"/>
        <v>0</v>
      </c>
      <c r="AE9" s="1">
        <f t="shared" si="3"/>
        <v>13</v>
      </c>
    </row>
    <row r="10" spans="1:31" ht="16.399999999999999" thickBot="1" x14ac:dyDescent="0.35">
      <c r="A10" s="11" t="s">
        <v>12</v>
      </c>
      <c r="B10" s="15"/>
      <c r="C10" s="2"/>
      <c r="D10" s="2"/>
      <c r="E10" s="11"/>
      <c r="F10" s="27"/>
      <c r="G10" s="15"/>
      <c r="H10" s="2"/>
      <c r="I10" s="2"/>
      <c r="J10" s="11"/>
      <c r="K10" s="27"/>
      <c r="L10" s="13">
        <v>0</v>
      </c>
      <c r="M10" s="13">
        <v>0</v>
      </c>
      <c r="N10" s="13">
        <v>0</v>
      </c>
      <c r="O10" s="13">
        <v>1</v>
      </c>
      <c r="P10" s="26">
        <f t="shared" si="0"/>
        <v>1</v>
      </c>
      <c r="Q10" s="15">
        <v>0</v>
      </c>
      <c r="R10" s="2">
        <v>0</v>
      </c>
      <c r="S10" s="2">
        <v>17</v>
      </c>
      <c r="T10" s="11">
        <v>6</v>
      </c>
      <c r="U10" s="27">
        <v>23</v>
      </c>
      <c r="V10" s="15" t="s">
        <v>133</v>
      </c>
      <c r="W10" s="2">
        <v>0</v>
      </c>
      <c r="X10" s="2">
        <v>0</v>
      </c>
      <c r="Y10" s="11">
        <v>0</v>
      </c>
      <c r="Z10" s="27">
        <v>0</v>
      </c>
      <c r="AA10" s="40">
        <v>0</v>
      </c>
      <c r="AB10" s="1">
        <f t="shared" si="1"/>
        <v>15</v>
      </c>
      <c r="AC10" s="1">
        <f t="shared" si="2"/>
        <v>0</v>
      </c>
      <c r="AE10" s="1">
        <f t="shared" si="3"/>
        <v>13</v>
      </c>
    </row>
    <row r="11" spans="1:31" ht="16.399999999999999" thickBot="1" x14ac:dyDescent="0.35">
      <c r="A11" s="11" t="s">
        <v>13</v>
      </c>
      <c r="B11" s="15"/>
      <c r="C11" s="2"/>
      <c r="D11" s="2"/>
      <c r="E11" s="11"/>
      <c r="F11" s="27"/>
      <c r="G11" s="15"/>
      <c r="H11" s="2"/>
      <c r="I11" s="2"/>
      <c r="J11" s="11"/>
      <c r="K11" s="27"/>
      <c r="L11" s="13">
        <v>0</v>
      </c>
      <c r="M11" s="13">
        <v>0</v>
      </c>
      <c r="N11" s="13">
        <v>0</v>
      </c>
      <c r="O11" s="13">
        <v>0</v>
      </c>
      <c r="P11" s="26">
        <f t="shared" si="0"/>
        <v>0</v>
      </c>
      <c r="Q11" s="15">
        <v>0</v>
      </c>
      <c r="R11" s="2">
        <v>0</v>
      </c>
      <c r="S11" s="2">
        <v>0</v>
      </c>
      <c r="T11" s="11">
        <v>0</v>
      </c>
      <c r="U11" s="27">
        <v>0</v>
      </c>
      <c r="V11" s="15">
        <v>0</v>
      </c>
      <c r="W11" s="2">
        <v>0</v>
      </c>
      <c r="X11" s="2">
        <v>0</v>
      </c>
      <c r="Y11" s="11">
        <v>0</v>
      </c>
      <c r="Z11" s="27">
        <v>0</v>
      </c>
      <c r="AA11" s="40">
        <v>0</v>
      </c>
      <c r="AB11" s="1">
        <f t="shared" si="1"/>
        <v>15</v>
      </c>
      <c r="AC11" s="1">
        <f t="shared" si="2"/>
        <v>0</v>
      </c>
      <c r="AE11" s="1">
        <f t="shared" si="3"/>
        <v>14</v>
      </c>
    </row>
    <row r="12" spans="1:31" ht="16.399999999999999" thickBot="1" x14ac:dyDescent="0.35">
      <c r="A12" s="11" t="s">
        <v>14</v>
      </c>
      <c r="B12" s="15"/>
      <c r="C12" s="2"/>
      <c r="D12" s="2"/>
      <c r="E12" s="11"/>
      <c r="F12" s="27"/>
      <c r="G12" s="15"/>
      <c r="H12" s="2"/>
      <c r="I12" s="2"/>
      <c r="J12" s="11"/>
      <c r="K12" s="27"/>
      <c r="L12" s="13" t="s">
        <v>133</v>
      </c>
      <c r="M12" s="13">
        <v>0</v>
      </c>
      <c r="N12" s="13">
        <v>0</v>
      </c>
      <c r="O12" s="13">
        <v>54</v>
      </c>
      <c r="P12" s="26">
        <f t="shared" si="0"/>
        <v>54</v>
      </c>
      <c r="Q12" s="15">
        <v>0</v>
      </c>
      <c r="R12" s="2">
        <v>5</v>
      </c>
      <c r="S12" s="2">
        <v>76</v>
      </c>
      <c r="T12" s="11">
        <v>64</v>
      </c>
      <c r="U12" s="27">
        <v>145</v>
      </c>
      <c r="V12" s="15">
        <v>22</v>
      </c>
      <c r="W12" s="2">
        <v>45</v>
      </c>
      <c r="X12" s="2">
        <v>97</v>
      </c>
      <c r="Y12" s="11">
        <v>90</v>
      </c>
      <c r="Z12" s="27">
        <v>254</v>
      </c>
      <c r="AA12" s="40">
        <v>0</v>
      </c>
      <c r="AB12" s="1">
        <f t="shared" si="1"/>
        <v>15</v>
      </c>
      <c r="AC12" s="1">
        <f t="shared" si="2"/>
        <v>0</v>
      </c>
      <c r="AE12" s="1">
        <f t="shared" si="3"/>
        <v>13</v>
      </c>
    </row>
    <row r="13" spans="1:31" ht="16.399999999999999" thickBot="1" x14ac:dyDescent="0.35">
      <c r="A13" s="11" t="s">
        <v>15</v>
      </c>
      <c r="B13" s="15"/>
      <c r="C13" s="2"/>
      <c r="D13" s="2"/>
      <c r="E13" s="11"/>
      <c r="F13" s="27"/>
      <c r="G13" s="15"/>
      <c r="H13" s="2"/>
      <c r="I13" s="2"/>
      <c r="J13" s="11"/>
      <c r="K13" s="27"/>
      <c r="L13" s="13">
        <v>0</v>
      </c>
      <c r="M13" s="13">
        <v>0</v>
      </c>
      <c r="N13" s="13">
        <v>0</v>
      </c>
      <c r="O13" s="13">
        <v>0</v>
      </c>
      <c r="P13" s="26">
        <f t="shared" si="0"/>
        <v>0</v>
      </c>
      <c r="Q13" s="15">
        <v>0</v>
      </c>
      <c r="R13" s="2">
        <v>0</v>
      </c>
      <c r="S13" s="2">
        <v>0</v>
      </c>
      <c r="T13" s="11">
        <v>0</v>
      </c>
      <c r="U13" s="27">
        <v>0</v>
      </c>
      <c r="V13" s="15">
        <v>0</v>
      </c>
      <c r="W13" s="2">
        <v>0</v>
      </c>
      <c r="X13" s="2">
        <v>0</v>
      </c>
      <c r="Y13" s="11">
        <v>3</v>
      </c>
      <c r="Z13" s="27">
        <v>3</v>
      </c>
      <c r="AA13" s="40">
        <v>0</v>
      </c>
      <c r="AB13" s="1">
        <f t="shared" si="1"/>
        <v>15</v>
      </c>
      <c r="AC13" s="1">
        <f t="shared" si="2"/>
        <v>0</v>
      </c>
      <c r="AE13" s="1">
        <f t="shared" si="3"/>
        <v>14</v>
      </c>
    </row>
    <row r="14" spans="1:31" ht="16.399999999999999" thickBot="1" x14ac:dyDescent="0.35">
      <c r="A14" s="11" t="s">
        <v>16</v>
      </c>
      <c r="B14" s="15"/>
      <c r="C14" s="2"/>
      <c r="D14" s="2"/>
      <c r="E14" s="11"/>
      <c r="F14" s="27"/>
      <c r="G14" s="15"/>
      <c r="H14" s="2"/>
      <c r="I14" s="2"/>
      <c r="J14" s="11"/>
      <c r="K14" s="27"/>
      <c r="L14" s="13">
        <v>0</v>
      </c>
      <c r="M14" s="13">
        <v>0</v>
      </c>
      <c r="N14" s="13" t="s">
        <v>133</v>
      </c>
      <c r="O14" s="13">
        <v>0</v>
      </c>
      <c r="P14" s="26">
        <f t="shared" si="0"/>
        <v>0</v>
      </c>
      <c r="Q14" s="15">
        <v>0</v>
      </c>
      <c r="R14" s="2">
        <v>0</v>
      </c>
      <c r="S14" s="2">
        <v>0</v>
      </c>
      <c r="T14" s="11" t="s">
        <v>133</v>
      </c>
      <c r="U14" s="27">
        <v>0</v>
      </c>
      <c r="V14" s="15">
        <v>0</v>
      </c>
      <c r="W14" s="2">
        <v>0</v>
      </c>
      <c r="X14" s="2">
        <v>0</v>
      </c>
      <c r="Y14" s="11">
        <v>0</v>
      </c>
      <c r="Z14" s="27">
        <v>0</v>
      </c>
      <c r="AA14" s="40">
        <v>0</v>
      </c>
      <c r="AB14" s="1">
        <f t="shared" si="1"/>
        <v>15</v>
      </c>
      <c r="AC14" s="1">
        <f t="shared" si="2"/>
        <v>0</v>
      </c>
      <c r="AE14" s="1">
        <f t="shared" si="3"/>
        <v>12</v>
      </c>
    </row>
    <row r="15" spans="1:31" ht="16.399999999999999" thickBot="1" x14ac:dyDescent="0.35">
      <c r="A15" s="11" t="s">
        <v>17</v>
      </c>
      <c r="B15" s="15"/>
      <c r="C15" s="2"/>
      <c r="D15" s="2"/>
      <c r="E15" s="11"/>
      <c r="F15" s="27"/>
      <c r="G15" s="15"/>
      <c r="H15" s="2"/>
      <c r="I15" s="2"/>
      <c r="J15" s="11"/>
      <c r="K15" s="27"/>
      <c r="L15" s="13">
        <v>0</v>
      </c>
      <c r="M15" s="13">
        <v>0</v>
      </c>
      <c r="N15" s="13">
        <v>0</v>
      </c>
      <c r="O15" s="13">
        <v>0</v>
      </c>
      <c r="P15" s="26">
        <f t="shared" si="0"/>
        <v>0</v>
      </c>
      <c r="Q15" s="15">
        <v>0</v>
      </c>
      <c r="R15" s="2">
        <v>0</v>
      </c>
      <c r="S15" s="2">
        <v>0</v>
      </c>
      <c r="T15" s="11">
        <v>0</v>
      </c>
      <c r="U15" s="27">
        <v>0</v>
      </c>
      <c r="V15" s="15">
        <v>0</v>
      </c>
      <c r="W15" s="2">
        <v>0</v>
      </c>
      <c r="X15" s="2">
        <v>0</v>
      </c>
      <c r="Y15" s="11">
        <v>0</v>
      </c>
      <c r="Z15" s="27">
        <v>0</v>
      </c>
      <c r="AA15" s="40">
        <v>0</v>
      </c>
      <c r="AB15" s="1">
        <f t="shared" si="1"/>
        <v>15</v>
      </c>
      <c r="AC15" s="1">
        <f t="shared" si="2"/>
        <v>0</v>
      </c>
      <c r="AE15" s="1">
        <f t="shared" si="3"/>
        <v>14</v>
      </c>
    </row>
    <row r="16" spans="1:31" ht="16.399999999999999" thickBot="1" x14ac:dyDescent="0.35">
      <c r="A16" s="11" t="s">
        <v>18</v>
      </c>
      <c r="B16" s="15"/>
      <c r="C16" s="2"/>
      <c r="D16" s="2"/>
      <c r="E16" s="11"/>
      <c r="F16" s="27"/>
      <c r="G16" s="15"/>
      <c r="H16" s="2"/>
      <c r="I16" s="2"/>
      <c r="J16" s="11"/>
      <c r="K16" s="27"/>
      <c r="L16" s="13">
        <v>0</v>
      </c>
      <c r="M16" s="13">
        <v>0</v>
      </c>
      <c r="N16" s="13">
        <v>0</v>
      </c>
      <c r="O16" s="13">
        <v>0</v>
      </c>
      <c r="P16" s="26">
        <f t="shared" si="0"/>
        <v>0</v>
      </c>
      <c r="Q16" s="15">
        <v>0</v>
      </c>
      <c r="R16" s="2" t="s">
        <v>133</v>
      </c>
      <c r="S16" s="2">
        <v>0</v>
      </c>
      <c r="T16" s="11">
        <v>0</v>
      </c>
      <c r="U16" s="27">
        <v>0</v>
      </c>
      <c r="V16" s="15">
        <v>0</v>
      </c>
      <c r="W16" s="2">
        <v>0</v>
      </c>
      <c r="X16" s="2">
        <v>0</v>
      </c>
      <c r="Y16" s="11">
        <v>0</v>
      </c>
      <c r="Z16" s="27">
        <v>0</v>
      </c>
      <c r="AA16" s="40">
        <v>0</v>
      </c>
      <c r="AB16" s="1">
        <f t="shared" si="1"/>
        <v>15</v>
      </c>
      <c r="AC16" s="1">
        <f t="shared" si="2"/>
        <v>0</v>
      </c>
      <c r="AE16" s="1">
        <f t="shared" si="3"/>
        <v>13</v>
      </c>
    </row>
    <row r="17" spans="1:31" ht="16.399999999999999" thickBot="1" x14ac:dyDescent="0.35">
      <c r="A17" s="11" t="s">
        <v>19</v>
      </c>
      <c r="B17" s="15"/>
      <c r="C17" s="2"/>
      <c r="D17" s="2"/>
      <c r="E17" s="11"/>
      <c r="F17" s="27"/>
      <c r="G17" s="15"/>
      <c r="H17" s="2"/>
      <c r="I17" s="2"/>
      <c r="J17" s="11"/>
      <c r="K17" s="27"/>
      <c r="L17" s="13">
        <v>0</v>
      </c>
      <c r="M17" s="13">
        <v>0</v>
      </c>
      <c r="N17" s="13">
        <v>0</v>
      </c>
      <c r="O17" s="13">
        <v>0</v>
      </c>
      <c r="P17" s="26">
        <f t="shared" si="0"/>
        <v>0</v>
      </c>
      <c r="Q17" s="15">
        <v>0</v>
      </c>
      <c r="R17" s="2">
        <v>0</v>
      </c>
      <c r="S17" s="2">
        <v>0</v>
      </c>
      <c r="T17" s="11">
        <v>0</v>
      </c>
      <c r="U17" s="27">
        <v>0</v>
      </c>
      <c r="V17" s="15">
        <v>0</v>
      </c>
      <c r="W17" s="2">
        <v>0</v>
      </c>
      <c r="X17" s="2">
        <v>0</v>
      </c>
      <c r="Y17" s="11">
        <v>0</v>
      </c>
      <c r="Z17" s="27">
        <v>0</v>
      </c>
      <c r="AA17" s="40">
        <v>0</v>
      </c>
      <c r="AB17" s="1">
        <f t="shared" si="1"/>
        <v>15</v>
      </c>
      <c r="AC17" s="1">
        <f t="shared" si="2"/>
        <v>0</v>
      </c>
      <c r="AE17" s="1">
        <f t="shared" si="3"/>
        <v>14</v>
      </c>
    </row>
    <row r="18" spans="1:31" ht="16.399999999999999" thickBot="1" x14ac:dyDescent="0.35">
      <c r="A18" s="11" t="s">
        <v>20</v>
      </c>
      <c r="B18" s="15"/>
      <c r="C18" s="2"/>
      <c r="D18" s="2"/>
      <c r="E18" s="11"/>
      <c r="F18" s="27"/>
      <c r="G18" s="15"/>
      <c r="H18" s="2"/>
      <c r="I18" s="2"/>
      <c r="J18" s="11"/>
      <c r="K18" s="27"/>
      <c r="L18" s="13">
        <v>0</v>
      </c>
      <c r="M18" s="13">
        <v>0</v>
      </c>
      <c r="N18" s="13">
        <v>0</v>
      </c>
      <c r="O18" s="13">
        <v>0</v>
      </c>
      <c r="P18" s="26">
        <f t="shared" si="0"/>
        <v>0</v>
      </c>
      <c r="Q18" s="15">
        <v>0</v>
      </c>
      <c r="R18" s="2">
        <v>4</v>
      </c>
      <c r="S18" s="2">
        <v>16</v>
      </c>
      <c r="T18" s="11">
        <v>6</v>
      </c>
      <c r="U18" s="27">
        <v>26</v>
      </c>
      <c r="V18" s="15">
        <v>2</v>
      </c>
      <c r="W18" s="2">
        <v>7</v>
      </c>
      <c r="X18" s="2">
        <v>11</v>
      </c>
      <c r="Y18" s="11">
        <v>6</v>
      </c>
      <c r="Z18" s="27">
        <v>26</v>
      </c>
      <c r="AA18" s="40">
        <v>0</v>
      </c>
      <c r="AB18" s="1">
        <f t="shared" si="1"/>
        <v>15</v>
      </c>
      <c r="AC18" s="1">
        <f t="shared" si="2"/>
        <v>0</v>
      </c>
      <c r="AE18" s="1">
        <f t="shared" si="3"/>
        <v>14</v>
      </c>
    </row>
    <row r="19" spans="1:31" ht="16.399999999999999" thickBot="1" x14ac:dyDescent="0.35">
      <c r="A19" s="25" t="s">
        <v>21</v>
      </c>
      <c r="B19" s="30"/>
      <c r="C19" s="3"/>
      <c r="D19" s="3"/>
      <c r="E19" s="25"/>
      <c r="F19" s="28"/>
      <c r="G19" s="30"/>
      <c r="H19" s="3"/>
      <c r="I19" s="3"/>
      <c r="J19" s="25"/>
      <c r="K19" s="28"/>
      <c r="L19" s="13">
        <v>0</v>
      </c>
      <c r="M19" s="13">
        <v>0</v>
      </c>
      <c r="N19" s="13" t="s">
        <v>133</v>
      </c>
      <c r="O19" s="13">
        <v>0</v>
      </c>
      <c r="P19" s="26">
        <f t="shared" si="0"/>
        <v>0</v>
      </c>
      <c r="Q19" s="30">
        <v>0</v>
      </c>
      <c r="R19" s="3">
        <v>0</v>
      </c>
      <c r="S19" s="3">
        <v>0</v>
      </c>
      <c r="T19" s="25">
        <v>0</v>
      </c>
      <c r="U19" s="28">
        <v>0</v>
      </c>
      <c r="V19" s="30">
        <v>0</v>
      </c>
      <c r="W19" s="3">
        <v>0</v>
      </c>
      <c r="X19" s="3">
        <v>0</v>
      </c>
      <c r="Y19" s="25">
        <v>0</v>
      </c>
      <c r="Z19" s="28">
        <v>0</v>
      </c>
      <c r="AA19" s="41">
        <v>0</v>
      </c>
      <c r="AB19" s="1">
        <f t="shared" si="1"/>
        <v>15</v>
      </c>
      <c r="AC19" s="1">
        <f t="shared" si="2"/>
        <v>0</v>
      </c>
      <c r="AE19" s="1">
        <f t="shared" si="3"/>
        <v>13</v>
      </c>
    </row>
    <row r="20" spans="1:31" ht="16.399999999999999" thickBot="1" x14ac:dyDescent="0.35">
      <c r="A20" s="18" t="s">
        <v>22</v>
      </c>
      <c r="B20" s="5"/>
      <c r="C20" s="6"/>
      <c r="D20" s="6"/>
      <c r="E20" s="24"/>
      <c r="F20" s="29"/>
      <c r="G20" s="5"/>
      <c r="H20" s="6"/>
      <c r="I20" s="6"/>
      <c r="J20" s="24"/>
      <c r="K20" s="29"/>
      <c r="L20" s="13">
        <v>0</v>
      </c>
      <c r="M20" s="13">
        <v>0</v>
      </c>
      <c r="N20" s="13">
        <v>0</v>
      </c>
      <c r="O20" s="13">
        <v>0</v>
      </c>
      <c r="P20" s="26">
        <f t="shared" si="0"/>
        <v>0</v>
      </c>
      <c r="Q20" s="5"/>
      <c r="R20" s="6"/>
      <c r="S20" s="6"/>
      <c r="T20" s="24"/>
      <c r="U20" s="29">
        <v>195</v>
      </c>
      <c r="V20" s="5"/>
      <c r="W20" s="6"/>
      <c r="X20" s="6"/>
      <c r="Y20" s="24"/>
      <c r="Z20" s="29">
        <v>283</v>
      </c>
      <c r="AA20" s="42">
        <v>0</v>
      </c>
      <c r="AB20" s="1">
        <f t="shared" si="1"/>
        <v>7</v>
      </c>
      <c r="AC20" s="1">
        <f t="shared" si="2"/>
        <v>8</v>
      </c>
      <c r="AE20" s="1">
        <f t="shared" si="3"/>
        <v>6</v>
      </c>
    </row>
    <row r="21" spans="1:31" ht="16.399999999999999" thickBot="1" x14ac:dyDescent="0.35">
      <c r="A21" s="93" t="s">
        <v>23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5"/>
      <c r="AB21" s="1">
        <f t="shared" si="1"/>
        <v>0</v>
      </c>
      <c r="AC21" s="1">
        <f t="shared" si="2"/>
        <v>14</v>
      </c>
      <c r="AE21" s="1">
        <f t="shared" si="3"/>
        <v>0</v>
      </c>
    </row>
    <row r="22" spans="1:31" ht="16.399999999999999" thickBot="1" x14ac:dyDescent="0.35">
      <c r="A22" s="10" t="s">
        <v>24</v>
      </c>
      <c r="B22" s="13"/>
      <c r="C22" s="14"/>
      <c r="D22" s="14"/>
      <c r="E22" s="22"/>
      <c r="F22" s="26"/>
      <c r="G22" s="12"/>
      <c r="H22" s="4"/>
      <c r="I22" s="4"/>
      <c r="J22" s="10"/>
      <c r="K22" s="26"/>
      <c r="L22" s="12">
        <v>0</v>
      </c>
      <c r="M22" s="12">
        <v>0</v>
      </c>
      <c r="N22" s="12">
        <v>0</v>
      </c>
      <c r="O22" s="12">
        <v>2</v>
      </c>
      <c r="P22" s="26">
        <f>SUM(L22:O22)</f>
        <v>2</v>
      </c>
      <c r="Q22" s="12">
        <v>0</v>
      </c>
      <c r="R22" s="4">
        <v>0</v>
      </c>
      <c r="S22" s="4">
        <v>4</v>
      </c>
      <c r="T22" s="10">
        <v>1</v>
      </c>
      <c r="U22" s="26">
        <v>5</v>
      </c>
      <c r="V22" s="12">
        <v>0</v>
      </c>
      <c r="W22" s="4">
        <v>0</v>
      </c>
      <c r="X22" s="4">
        <v>7</v>
      </c>
      <c r="Y22" s="10">
        <v>13</v>
      </c>
      <c r="Z22" s="26">
        <v>20</v>
      </c>
      <c r="AA22" s="43">
        <v>0</v>
      </c>
      <c r="AB22" s="1">
        <f t="shared" si="1"/>
        <v>15</v>
      </c>
      <c r="AC22" s="1">
        <f t="shared" si="2"/>
        <v>0</v>
      </c>
      <c r="AE22" s="1">
        <f t="shared" si="3"/>
        <v>14</v>
      </c>
    </row>
    <row r="23" spans="1:31" ht="16.399999999999999" thickBot="1" x14ac:dyDescent="0.35">
      <c r="A23" s="11" t="s">
        <v>25</v>
      </c>
      <c r="B23" s="15"/>
      <c r="C23" s="2"/>
      <c r="D23" s="2"/>
      <c r="E23" s="11"/>
      <c r="F23" s="27"/>
      <c r="G23" s="9"/>
      <c r="H23" s="2"/>
      <c r="I23" s="2"/>
      <c r="J23" s="11"/>
      <c r="K23" s="27"/>
      <c r="L23" s="12">
        <v>0</v>
      </c>
      <c r="M23" s="12">
        <v>0</v>
      </c>
      <c r="N23" s="12">
        <v>0</v>
      </c>
      <c r="O23" s="12">
        <v>2</v>
      </c>
      <c r="P23" s="26">
        <f t="shared" ref="P23:P30" si="4">SUM(L23:O23)</f>
        <v>2</v>
      </c>
      <c r="Q23" s="9">
        <v>0</v>
      </c>
      <c r="R23" s="2">
        <v>22</v>
      </c>
      <c r="S23" s="2">
        <v>41</v>
      </c>
      <c r="T23" s="11">
        <v>12</v>
      </c>
      <c r="U23" s="27">
        <v>75</v>
      </c>
      <c r="V23" s="9">
        <v>10</v>
      </c>
      <c r="W23" s="2">
        <v>26</v>
      </c>
      <c r="X23" s="2">
        <v>63</v>
      </c>
      <c r="Y23" s="11">
        <v>39</v>
      </c>
      <c r="Z23" s="27">
        <v>138</v>
      </c>
      <c r="AA23" s="40">
        <v>0</v>
      </c>
      <c r="AB23" s="1">
        <f t="shared" si="1"/>
        <v>15</v>
      </c>
      <c r="AC23" s="1">
        <f t="shared" si="2"/>
        <v>0</v>
      </c>
      <c r="AE23" s="1">
        <f t="shared" si="3"/>
        <v>14</v>
      </c>
    </row>
    <row r="24" spans="1:31" ht="16.399999999999999" thickBot="1" x14ac:dyDescent="0.35">
      <c r="A24" s="11" t="s">
        <v>26</v>
      </c>
      <c r="B24" s="15"/>
      <c r="C24" s="2"/>
      <c r="D24" s="2"/>
      <c r="E24" s="11"/>
      <c r="F24" s="27"/>
      <c r="G24" s="9"/>
      <c r="H24" s="2"/>
      <c r="I24" s="2"/>
      <c r="J24" s="11"/>
      <c r="K24" s="27"/>
      <c r="L24" s="12" t="s">
        <v>133</v>
      </c>
      <c r="M24" s="12">
        <v>0</v>
      </c>
      <c r="N24" s="12">
        <v>0</v>
      </c>
      <c r="O24" s="12">
        <v>2</v>
      </c>
      <c r="P24" s="26">
        <f t="shared" si="4"/>
        <v>2</v>
      </c>
      <c r="Q24" s="9">
        <v>0</v>
      </c>
      <c r="R24" s="2">
        <v>0</v>
      </c>
      <c r="S24" s="2">
        <v>0</v>
      </c>
      <c r="T24" s="11">
        <v>0</v>
      </c>
      <c r="U24" s="27">
        <v>0</v>
      </c>
      <c r="V24" s="9">
        <v>0</v>
      </c>
      <c r="W24" s="2">
        <v>0</v>
      </c>
      <c r="X24" s="2">
        <v>0</v>
      </c>
      <c r="Y24" s="11">
        <v>0</v>
      </c>
      <c r="Z24" s="27">
        <v>0</v>
      </c>
      <c r="AA24" s="40">
        <v>0</v>
      </c>
      <c r="AB24" s="1">
        <f t="shared" si="1"/>
        <v>15</v>
      </c>
      <c r="AC24" s="1">
        <f t="shared" si="2"/>
        <v>0</v>
      </c>
      <c r="AE24" s="1">
        <f t="shared" si="3"/>
        <v>13</v>
      </c>
    </row>
    <row r="25" spans="1:31" ht="16.399999999999999" thickBot="1" x14ac:dyDescent="0.35">
      <c r="A25" s="11" t="s">
        <v>27</v>
      </c>
      <c r="B25" s="15"/>
      <c r="C25" s="2"/>
      <c r="D25" s="2"/>
      <c r="E25" s="11"/>
      <c r="F25" s="27"/>
      <c r="G25" s="9"/>
      <c r="H25" s="2"/>
      <c r="I25" s="2"/>
      <c r="J25" s="11"/>
      <c r="K25" s="27"/>
      <c r="L25" s="12">
        <v>0</v>
      </c>
      <c r="M25" s="12">
        <v>0</v>
      </c>
      <c r="N25" s="12">
        <v>0</v>
      </c>
      <c r="O25" s="12">
        <v>0</v>
      </c>
      <c r="P25" s="26">
        <f t="shared" si="4"/>
        <v>0</v>
      </c>
      <c r="Q25" s="9">
        <v>0</v>
      </c>
      <c r="R25" s="2" t="s">
        <v>133</v>
      </c>
      <c r="S25" s="2">
        <v>4</v>
      </c>
      <c r="T25" s="11">
        <v>1</v>
      </c>
      <c r="U25" s="27">
        <v>5</v>
      </c>
      <c r="V25" s="9">
        <v>0</v>
      </c>
      <c r="W25" s="2">
        <v>0</v>
      </c>
      <c r="X25" s="2">
        <v>3</v>
      </c>
      <c r="Y25" s="11">
        <v>5</v>
      </c>
      <c r="Z25" s="27">
        <v>8</v>
      </c>
      <c r="AA25" s="40">
        <v>0</v>
      </c>
      <c r="AB25" s="1">
        <f t="shared" si="1"/>
        <v>15</v>
      </c>
      <c r="AC25" s="1">
        <f t="shared" si="2"/>
        <v>0</v>
      </c>
      <c r="AE25" s="1">
        <f t="shared" si="3"/>
        <v>13</v>
      </c>
    </row>
    <row r="26" spans="1:31" ht="16.399999999999999" thickBot="1" x14ac:dyDescent="0.35">
      <c r="A26" s="25" t="s">
        <v>13</v>
      </c>
      <c r="B26" s="30"/>
      <c r="C26" s="3"/>
      <c r="D26" s="3"/>
      <c r="E26" s="25"/>
      <c r="F26" s="28"/>
      <c r="G26" s="31"/>
      <c r="H26" s="3"/>
      <c r="I26" s="3"/>
      <c r="J26" s="25"/>
      <c r="K26" s="28"/>
      <c r="L26" s="12">
        <v>0</v>
      </c>
      <c r="M26" s="12">
        <v>0</v>
      </c>
      <c r="N26" s="12">
        <v>0</v>
      </c>
      <c r="O26" s="12">
        <v>88</v>
      </c>
      <c r="P26" s="26">
        <f t="shared" si="4"/>
        <v>88</v>
      </c>
      <c r="Q26" s="31">
        <v>18</v>
      </c>
      <c r="R26" s="3">
        <v>122</v>
      </c>
      <c r="S26" s="3">
        <v>164</v>
      </c>
      <c r="T26" s="25">
        <v>110</v>
      </c>
      <c r="U26" s="28">
        <v>414</v>
      </c>
      <c r="V26" s="31">
        <v>15</v>
      </c>
      <c r="W26" s="3">
        <v>38</v>
      </c>
      <c r="X26" s="3">
        <v>55</v>
      </c>
      <c r="Y26" s="25">
        <v>105</v>
      </c>
      <c r="Z26" s="28">
        <v>213</v>
      </c>
      <c r="AA26" s="41">
        <v>0</v>
      </c>
      <c r="AB26" s="1">
        <f t="shared" si="1"/>
        <v>15</v>
      </c>
      <c r="AC26" s="1">
        <f t="shared" si="2"/>
        <v>0</v>
      </c>
      <c r="AE26" s="1">
        <f t="shared" si="3"/>
        <v>14</v>
      </c>
    </row>
    <row r="27" spans="1:31" ht="16.399999999999999" thickBot="1" x14ac:dyDescent="0.35">
      <c r="A27" s="18" t="s">
        <v>28</v>
      </c>
      <c r="B27" s="5"/>
      <c r="C27" s="6"/>
      <c r="D27" s="6"/>
      <c r="E27" s="24"/>
      <c r="F27" s="29"/>
      <c r="G27" s="20"/>
      <c r="H27" s="6"/>
      <c r="I27" s="6"/>
      <c r="J27" s="24"/>
      <c r="K27" s="29"/>
      <c r="L27" s="12">
        <v>0</v>
      </c>
      <c r="M27" s="12">
        <v>0</v>
      </c>
      <c r="N27" s="12">
        <v>0</v>
      </c>
      <c r="O27" s="12">
        <v>0</v>
      </c>
      <c r="P27" s="26">
        <f t="shared" si="4"/>
        <v>0</v>
      </c>
      <c r="Q27" s="20"/>
      <c r="R27" s="6"/>
      <c r="S27" s="6"/>
      <c r="T27" s="24"/>
      <c r="U27" s="29">
        <v>499</v>
      </c>
      <c r="V27" s="20"/>
      <c r="W27" s="6"/>
      <c r="X27" s="6"/>
      <c r="Y27" s="24"/>
      <c r="Z27" s="29">
        <v>379</v>
      </c>
      <c r="AA27" s="42">
        <v>0</v>
      </c>
      <c r="AB27" s="1">
        <f t="shared" si="1"/>
        <v>7</v>
      </c>
      <c r="AC27" s="1">
        <f t="shared" si="2"/>
        <v>8</v>
      </c>
      <c r="AE27" s="1">
        <f t="shared" si="3"/>
        <v>6</v>
      </c>
    </row>
    <row r="28" spans="1:31" ht="16.399999999999999" thickBot="1" x14ac:dyDescent="0.35">
      <c r="A28" s="32" t="s">
        <v>29</v>
      </c>
      <c r="B28" s="33"/>
      <c r="C28" s="34"/>
      <c r="D28" s="34"/>
      <c r="E28" s="35"/>
      <c r="F28" s="29"/>
      <c r="G28" s="36"/>
      <c r="H28" s="34"/>
      <c r="I28" s="34"/>
      <c r="J28" s="35"/>
      <c r="K28" s="29"/>
      <c r="L28" s="12">
        <v>0</v>
      </c>
      <c r="M28" s="12">
        <v>0</v>
      </c>
      <c r="N28" s="12">
        <v>0</v>
      </c>
      <c r="O28" s="12">
        <v>0</v>
      </c>
      <c r="P28" s="26">
        <f t="shared" si="4"/>
        <v>0</v>
      </c>
      <c r="Q28" s="36" t="s">
        <v>133</v>
      </c>
      <c r="R28" s="34"/>
      <c r="S28" s="34"/>
      <c r="T28" s="35"/>
      <c r="U28" s="29">
        <v>694</v>
      </c>
      <c r="V28" s="36"/>
      <c r="W28" s="34"/>
      <c r="X28" s="34"/>
      <c r="Y28" s="35"/>
      <c r="Z28" s="29">
        <v>662</v>
      </c>
      <c r="AA28" s="44">
        <v>0</v>
      </c>
      <c r="AB28" s="1">
        <f t="shared" si="1"/>
        <v>8</v>
      </c>
      <c r="AC28" s="1">
        <f t="shared" si="2"/>
        <v>7</v>
      </c>
      <c r="AE28" s="1">
        <f t="shared" si="3"/>
        <v>6</v>
      </c>
    </row>
    <row r="29" spans="1:31" ht="16.399999999999999" thickBot="1" x14ac:dyDescent="0.35">
      <c r="A29" s="19" t="s">
        <v>30</v>
      </c>
      <c r="B29" s="8"/>
      <c r="C29" s="7"/>
      <c r="D29" s="7"/>
      <c r="E29" s="24"/>
      <c r="F29" s="29"/>
      <c r="G29" s="21"/>
      <c r="H29" s="7"/>
      <c r="I29" s="7"/>
      <c r="J29" s="24"/>
      <c r="K29" s="29"/>
      <c r="L29" s="12">
        <v>0</v>
      </c>
      <c r="M29" s="12">
        <v>0</v>
      </c>
      <c r="N29" s="12">
        <v>0</v>
      </c>
      <c r="O29" s="12">
        <v>0</v>
      </c>
      <c r="P29" s="26">
        <f t="shared" si="4"/>
        <v>0</v>
      </c>
      <c r="Q29" s="21"/>
      <c r="R29" s="7"/>
      <c r="S29" s="7"/>
      <c r="T29" s="24"/>
      <c r="U29" s="29"/>
      <c r="V29" s="21"/>
      <c r="W29" s="7" t="s">
        <v>133</v>
      </c>
      <c r="X29" s="7"/>
      <c r="Y29" s="24"/>
      <c r="Z29" s="29"/>
      <c r="AA29" s="42">
        <v>0</v>
      </c>
      <c r="AB29" s="1">
        <f t="shared" si="1"/>
        <v>6</v>
      </c>
      <c r="AC29" s="1">
        <f t="shared" si="2"/>
        <v>8</v>
      </c>
      <c r="AE29" s="1">
        <f t="shared" si="3"/>
        <v>5</v>
      </c>
    </row>
    <row r="30" spans="1:31" ht="16.399999999999999" thickBot="1" x14ac:dyDescent="0.35">
      <c r="A30" s="19" t="s">
        <v>31</v>
      </c>
      <c r="B30" s="8"/>
      <c r="C30" s="7"/>
      <c r="D30" s="7"/>
      <c r="E30" s="24"/>
      <c r="F30" s="29"/>
      <c r="G30" s="21"/>
      <c r="H30" s="7"/>
      <c r="I30" s="7"/>
      <c r="J30" s="24"/>
      <c r="K30" s="29"/>
      <c r="L30" s="12">
        <v>0</v>
      </c>
      <c r="M30" s="12">
        <v>0</v>
      </c>
      <c r="N30" s="12">
        <v>0</v>
      </c>
      <c r="O30" s="12">
        <v>0</v>
      </c>
      <c r="P30" s="26">
        <f t="shared" si="4"/>
        <v>0</v>
      </c>
      <c r="Q30" s="21"/>
      <c r="R30" s="7"/>
      <c r="S30" s="7"/>
      <c r="T30" s="24"/>
      <c r="U30" s="29"/>
      <c r="V30" s="21"/>
      <c r="W30" s="7"/>
      <c r="X30" s="7"/>
      <c r="Y30" s="24"/>
      <c r="Z30" s="29"/>
      <c r="AA30" s="42">
        <v>0</v>
      </c>
      <c r="AB30" s="1">
        <f t="shared" si="1"/>
        <v>5</v>
      </c>
      <c r="AC30" s="1">
        <f t="shared" si="2"/>
        <v>9</v>
      </c>
      <c r="AE30" s="1">
        <f t="shared" si="3"/>
        <v>5</v>
      </c>
    </row>
  </sheetData>
  <mergeCells count="13">
    <mergeCell ref="V2:Z2"/>
    <mergeCell ref="A4:Z5"/>
    <mergeCell ref="A21:AA21"/>
    <mergeCell ref="B1:F1"/>
    <mergeCell ref="G1:K1"/>
    <mergeCell ref="L1:P1"/>
    <mergeCell ref="Q1:U1"/>
    <mergeCell ref="V1:Z1"/>
    <mergeCell ref="AA1:AA4"/>
    <mergeCell ref="B2:F2"/>
    <mergeCell ref="G2:K2"/>
    <mergeCell ref="L2:P2"/>
    <mergeCell ref="Q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05B3-4341-4761-B9BC-6EC89EEAE4FF}">
  <dimension ref="A1:U23"/>
  <sheetViews>
    <sheetView topLeftCell="L1" workbookViewId="0">
      <selection activeCell="A4" sqref="A4:A18"/>
    </sheetView>
  </sheetViews>
  <sheetFormatPr defaultRowHeight="15.05" x14ac:dyDescent="0.3"/>
  <cols>
    <col min="1" max="1" width="19" style="49" customWidth="1"/>
    <col min="2" max="2" width="8.77734375" style="50"/>
    <col min="8" max="8" width="11.33203125" bestFit="1" customWidth="1"/>
    <col min="12" max="12" width="19" customWidth="1"/>
    <col min="19" max="19" width="11.33203125" bestFit="1" customWidth="1"/>
  </cols>
  <sheetData>
    <row r="1" spans="1:21" x14ac:dyDescent="0.3">
      <c r="A1" s="135" t="s">
        <v>32</v>
      </c>
      <c r="B1" s="136"/>
      <c r="C1" s="136"/>
      <c r="D1" s="136"/>
      <c r="E1" s="136"/>
      <c r="F1" s="136"/>
      <c r="G1" s="136"/>
      <c r="H1" s="136"/>
      <c r="I1" s="136"/>
      <c r="J1" s="137"/>
      <c r="L1" s="122" t="s">
        <v>45</v>
      </c>
      <c r="M1" s="123"/>
      <c r="N1" s="123"/>
      <c r="O1" s="123"/>
      <c r="P1" s="123"/>
      <c r="Q1" s="123"/>
      <c r="R1" s="123"/>
      <c r="S1" s="123"/>
      <c r="T1" s="123"/>
      <c r="U1" s="124"/>
    </row>
    <row r="2" spans="1:21" ht="45.65" customHeight="1" x14ac:dyDescent="0.3">
      <c r="A2" s="138" t="s">
        <v>33</v>
      </c>
      <c r="B2" s="138" t="s">
        <v>34</v>
      </c>
      <c r="C2" s="140" t="s">
        <v>35</v>
      </c>
      <c r="D2" s="141"/>
      <c r="E2" s="141"/>
      <c r="F2" s="142"/>
      <c r="G2" s="130" t="s">
        <v>36</v>
      </c>
      <c r="H2" s="130" t="s">
        <v>37</v>
      </c>
      <c r="I2" s="130" t="s">
        <v>38</v>
      </c>
      <c r="J2" s="130" t="s">
        <v>103</v>
      </c>
      <c r="L2" s="125" t="s">
        <v>33</v>
      </c>
      <c r="M2" s="125" t="s">
        <v>46</v>
      </c>
      <c r="N2" s="127" t="s">
        <v>47</v>
      </c>
      <c r="O2" s="128"/>
      <c r="P2" s="128"/>
      <c r="Q2" s="129"/>
      <c r="R2" s="130" t="s">
        <v>36</v>
      </c>
      <c r="S2" s="130" t="s">
        <v>37</v>
      </c>
      <c r="T2" s="130" t="s">
        <v>38</v>
      </c>
      <c r="U2" s="130" t="s">
        <v>103</v>
      </c>
    </row>
    <row r="3" spans="1:21" x14ac:dyDescent="0.3">
      <c r="A3" s="139"/>
      <c r="B3" s="139"/>
      <c r="C3" s="48" t="s">
        <v>2</v>
      </c>
      <c r="D3" s="48" t="s">
        <v>3</v>
      </c>
      <c r="E3" s="48" t="s">
        <v>4</v>
      </c>
      <c r="F3" s="48" t="s">
        <v>5</v>
      </c>
      <c r="G3" s="131"/>
      <c r="H3" s="131"/>
      <c r="I3" s="131"/>
      <c r="J3" s="131"/>
      <c r="L3" s="126"/>
      <c r="M3" s="126"/>
      <c r="N3" s="57" t="s">
        <v>2</v>
      </c>
      <c r="O3" s="57" t="s">
        <v>3</v>
      </c>
      <c r="P3" s="57" t="s">
        <v>4</v>
      </c>
      <c r="Q3" s="57" t="s">
        <v>5</v>
      </c>
      <c r="R3" s="131"/>
      <c r="S3" s="131"/>
      <c r="T3" s="131"/>
      <c r="U3" s="131"/>
    </row>
    <row r="4" spans="1:21" x14ac:dyDescent="0.3">
      <c r="A4" s="51" t="s">
        <v>104</v>
      </c>
      <c r="B4" s="113">
        <v>88</v>
      </c>
      <c r="C4" s="107"/>
      <c r="D4" s="107"/>
      <c r="E4" s="107"/>
      <c r="F4" s="107"/>
      <c r="G4" s="119">
        <f>C4+D4+E4+F4</f>
        <v>0</v>
      </c>
      <c r="H4" s="119">
        <f>G4/B4*100</f>
        <v>0</v>
      </c>
      <c r="I4" s="119">
        <v>19</v>
      </c>
      <c r="J4" s="119">
        <v>6</v>
      </c>
      <c r="L4" s="51" t="s">
        <v>104</v>
      </c>
      <c r="M4" s="113">
        <v>176</v>
      </c>
      <c r="N4" s="107"/>
      <c r="O4" s="107"/>
      <c r="P4" s="107"/>
      <c r="Q4" s="107"/>
      <c r="R4" s="119">
        <f>N4+O4+P4+Q4</f>
        <v>0</v>
      </c>
      <c r="S4" s="110">
        <f>R4/M4*100</f>
        <v>0</v>
      </c>
      <c r="T4" s="110">
        <v>38</v>
      </c>
      <c r="U4" s="110">
        <v>12</v>
      </c>
    </row>
    <row r="5" spans="1:21" x14ac:dyDescent="0.3">
      <c r="A5" s="52" t="s">
        <v>105</v>
      </c>
      <c r="B5" s="114"/>
      <c r="C5" s="108"/>
      <c r="D5" s="108"/>
      <c r="E5" s="108"/>
      <c r="F5" s="108"/>
      <c r="G5" s="120"/>
      <c r="H5" s="120"/>
      <c r="I5" s="120"/>
      <c r="J5" s="120"/>
      <c r="L5" s="52" t="s">
        <v>105</v>
      </c>
      <c r="M5" s="114"/>
      <c r="N5" s="108"/>
      <c r="O5" s="108"/>
      <c r="P5" s="108"/>
      <c r="Q5" s="108"/>
      <c r="R5" s="120"/>
      <c r="S5" s="111"/>
      <c r="T5" s="111"/>
      <c r="U5" s="111"/>
    </row>
    <row r="6" spans="1:21" x14ac:dyDescent="0.3">
      <c r="A6" s="53" t="s">
        <v>109</v>
      </c>
      <c r="B6" s="115"/>
      <c r="C6" s="109"/>
      <c r="D6" s="109"/>
      <c r="E6" s="109"/>
      <c r="F6" s="109"/>
      <c r="G6" s="121"/>
      <c r="H6" s="121"/>
      <c r="I6" s="121"/>
      <c r="J6" s="121"/>
      <c r="L6" s="53" t="s">
        <v>109</v>
      </c>
      <c r="M6" s="115"/>
      <c r="N6" s="109"/>
      <c r="O6" s="109"/>
      <c r="P6" s="109"/>
      <c r="Q6" s="109"/>
      <c r="R6" s="121"/>
      <c r="S6" s="112"/>
      <c r="T6" s="112"/>
      <c r="U6" s="112"/>
    </row>
    <row r="7" spans="1:21" x14ac:dyDescent="0.3">
      <c r="A7" s="51" t="s">
        <v>106</v>
      </c>
      <c r="B7" s="113">
        <v>88</v>
      </c>
      <c r="C7" s="107"/>
      <c r="D7" s="116"/>
      <c r="E7" s="116"/>
      <c r="F7" s="116"/>
      <c r="G7" s="119">
        <f t="shared" ref="G7" si="0">C7+D7+E7+F7</f>
        <v>0</v>
      </c>
      <c r="H7" s="119">
        <f t="shared" ref="H7" si="1">G7/B7*100</f>
        <v>0</v>
      </c>
      <c r="I7" s="119">
        <v>19</v>
      </c>
      <c r="J7" s="119">
        <v>9</v>
      </c>
      <c r="L7" s="51" t="s">
        <v>106</v>
      </c>
      <c r="M7" s="113">
        <v>176</v>
      </c>
      <c r="N7" s="107"/>
      <c r="O7" s="116"/>
      <c r="P7" s="116"/>
      <c r="Q7" s="116"/>
      <c r="R7" s="119">
        <f t="shared" ref="R7" si="2">N7+O7+P7+Q7</f>
        <v>0</v>
      </c>
      <c r="S7" s="110">
        <f t="shared" ref="S7" si="3">R7/M7*100</f>
        <v>0</v>
      </c>
      <c r="T7" s="110">
        <v>38</v>
      </c>
      <c r="U7" s="110">
        <v>18</v>
      </c>
    </row>
    <row r="8" spans="1:21" x14ac:dyDescent="0.3">
      <c r="A8" s="52" t="s">
        <v>107</v>
      </c>
      <c r="B8" s="114"/>
      <c r="C8" s="108"/>
      <c r="D8" s="117"/>
      <c r="E8" s="117"/>
      <c r="F8" s="117"/>
      <c r="G8" s="120"/>
      <c r="H8" s="120"/>
      <c r="I8" s="120"/>
      <c r="J8" s="120"/>
      <c r="L8" s="52" t="s">
        <v>107</v>
      </c>
      <c r="M8" s="114"/>
      <c r="N8" s="108"/>
      <c r="O8" s="117"/>
      <c r="P8" s="117"/>
      <c r="Q8" s="117"/>
      <c r="R8" s="120"/>
      <c r="S8" s="111"/>
      <c r="T8" s="111"/>
      <c r="U8" s="111"/>
    </row>
    <row r="9" spans="1:21" x14ac:dyDescent="0.3">
      <c r="A9" s="53" t="s">
        <v>108</v>
      </c>
      <c r="B9" s="115"/>
      <c r="C9" s="109"/>
      <c r="D9" s="118"/>
      <c r="E9" s="118"/>
      <c r="F9" s="118"/>
      <c r="G9" s="121"/>
      <c r="H9" s="121"/>
      <c r="I9" s="121"/>
      <c r="J9" s="121"/>
      <c r="L9" s="53" t="s">
        <v>108</v>
      </c>
      <c r="M9" s="115"/>
      <c r="N9" s="109"/>
      <c r="O9" s="118"/>
      <c r="P9" s="118"/>
      <c r="Q9" s="118"/>
      <c r="R9" s="121"/>
      <c r="S9" s="112"/>
      <c r="T9" s="112"/>
      <c r="U9" s="112"/>
    </row>
    <row r="10" spans="1:21" ht="14.4" customHeight="1" x14ac:dyDescent="0.3">
      <c r="A10" s="51" t="s">
        <v>110</v>
      </c>
      <c r="B10" s="113">
        <v>88</v>
      </c>
      <c r="C10" s="107"/>
      <c r="D10" s="116"/>
      <c r="E10" s="116"/>
      <c r="F10" s="116"/>
      <c r="G10" s="119">
        <f t="shared" ref="G10" si="4">C10+D10+E10+F10</f>
        <v>0</v>
      </c>
      <c r="H10" s="119">
        <f t="shared" ref="H10" si="5">G10/B10*100</f>
        <v>0</v>
      </c>
      <c r="I10" s="119">
        <v>19</v>
      </c>
      <c r="J10" s="119">
        <v>9</v>
      </c>
      <c r="L10" s="51" t="s">
        <v>110</v>
      </c>
      <c r="M10" s="113">
        <v>176</v>
      </c>
      <c r="N10" s="107"/>
      <c r="O10" s="116"/>
      <c r="P10" s="116"/>
      <c r="Q10" s="116"/>
      <c r="R10" s="119">
        <f t="shared" ref="R10" si="6">N10+O10+P10+Q10</f>
        <v>0</v>
      </c>
      <c r="S10" s="110">
        <f t="shared" ref="S10" si="7">R10/M10*100</f>
        <v>0</v>
      </c>
      <c r="T10" s="110">
        <v>38</v>
      </c>
      <c r="U10" s="110">
        <v>18</v>
      </c>
    </row>
    <row r="11" spans="1:21" ht="26.55" customHeight="1" x14ac:dyDescent="0.3">
      <c r="A11" s="52" t="s">
        <v>127</v>
      </c>
      <c r="B11" s="114"/>
      <c r="C11" s="108"/>
      <c r="D11" s="117"/>
      <c r="E11" s="117"/>
      <c r="F11" s="117"/>
      <c r="G11" s="120"/>
      <c r="H11" s="120"/>
      <c r="I11" s="120"/>
      <c r="J11" s="120"/>
      <c r="L11" s="52" t="s">
        <v>127</v>
      </c>
      <c r="M11" s="114"/>
      <c r="N11" s="108"/>
      <c r="O11" s="117"/>
      <c r="P11" s="117"/>
      <c r="Q11" s="117"/>
      <c r="R11" s="120"/>
      <c r="S11" s="111"/>
      <c r="T11" s="111"/>
      <c r="U11" s="111"/>
    </row>
    <row r="12" spans="1:21" ht="26.2" customHeight="1" x14ac:dyDescent="0.3">
      <c r="A12" s="53" t="s">
        <v>111</v>
      </c>
      <c r="B12" s="115"/>
      <c r="C12" s="109"/>
      <c r="D12" s="118"/>
      <c r="E12" s="118"/>
      <c r="F12" s="118"/>
      <c r="G12" s="121"/>
      <c r="H12" s="121"/>
      <c r="I12" s="121"/>
      <c r="J12" s="121"/>
      <c r="L12" s="53" t="s">
        <v>111</v>
      </c>
      <c r="M12" s="115"/>
      <c r="N12" s="109"/>
      <c r="O12" s="118"/>
      <c r="P12" s="118"/>
      <c r="Q12" s="118"/>
      <c r="R12" s="121"/>
      <c r="S12" s="112"/>
      <c r="T12" s="112"/>
      <c r="U12" s="112"/>
    </row>
    <row r="13" spans="1:21" x14ac:dyDescent="0.3">
      <c r="A13" s="51" t="s">
        <v>112</v>
      </c>
      <c r="B13" s="113">
        <v>88</v>
      </c>
      <c r="C13" s="107"/>
      <c r="D13" s="116"/>
      <c r="E13" s="116"/>
      <c r="F13" s="116"/>
      <c r="G13" s="119">
        <f t="shared" ref="G13" si="8">C13+D13+E13+F13</f>
        <v>0</v>
      </c>
      <c r="H13" s="119">
        <f t="shared" ref="H13" si="9">G13/B13*100</f>
        <v>0</v>
      </c>
      <c r="I13" s="119">
        <v>19</v>
      </c>
      <c r="J13" s="119">
        <v>8</v>
      </c>
      <c r="L13" s="51" t="s">
        <v>112</v>
      </c>
      <c r="M13" s="113">
        <v>176</v>
      </c>
      <c r="N13" s="107"/>
      <c r="O13" s="116"/>
      <c r="P13" s="116"/>
      <c r="Q13" s="116"/>
      <c r="R13" s="119">
        <f t="shared" ref="R13" si="10">N13+O13+P13+Q13</f>
        <v>0</v>
      </c>
      <c r="S13" s="110">
        <f t="shared" ref="S13" si="11">R13/M13*100</f>
        <v>0</v>
      </c>
      <c r="T13" s="110">
        <v>38</v>
      </c>
      <c r="U13" s="110">
        <v>16</v>
      </c>
    </row>
    <row r="14" spans="1:21" x14ac:dyDescent="0.3">
      <c r="A14" s="52" t="s">
        <v>113</v>
      </c>
      <c r="B14" s="114"/>
      <c r="C14" s="108"/>
      <c r="D14" s="117"/>
      <c r="E14" s="117"/>
      <c r="F14" s="117"/>
      <c r="G14" s="120"/>
      <c r="H14" s="120"/>
      <c r="I14" s="120"/>
      <c r="J14" s="120"/>
      <c r="L14" s="52" t="s">
        <v>113</v>
      </c>
      <c r="M14" s="114"/>
      <c r="N14" s="108"/>
      <c r="O14" s="117"/>
      <c r="P14" s="117"/>
      <c r="Q14" s="117"/>
      <c r="R14" s="120"/>
      <c r="S14" s="111"/>
      <c r="T14" s="111"/>
      <c r="U14" s="111"/>
    </row>
    <row r="15" spans="1:21" ht="26.2" x14ac:dyDescent="0.3">
      <c r="A15" s="53" t="s">
        <v>114</v>
      </c>
      <c r="B15" s="115"/>
      <c r="C15" s="109"/>
      <c r="D15" s="118"/>
      <c r="E15" s="118"/>
      <c r="F15" s="118"/>
      <c r="G15" s="121"/>
      <c r="H15" s="121"/>
      <c r="I15" s="121"/>
      <c r="J15" s="121"/>
      <c r="L15" s="53" t="s">
        <v>114</v>
      </c>
      <c r="M15" s="115"/>
      <c r="N15" s="109"/>
      <c r="O15" s="118"/>
      <c r="P15" s="118"/>
      <c r="Q15" s="118"/>
      <c r="R15" s="121"/>
      <c r="S15" s="112"/>
      <c r="T15" s="112"/>
      <c r="U15" s="112"/>
    </row>
    <row r="16" spans="1:21" x14ac:dyDescent="0.3">
      <c r="A16" s="51" t="s">
        <v>115</v>
      </c>
      <c r="B16" s="113">
        <v>88</v>
      </c>
      <c r="C16" s="107"/>
      <c r="D16" s="116"/>
      <c r="E16" s="116"/>
      <c r="F16" s="116"/>
      <c r="G16" s="119">
        <f t="shared" ref="G16" si="12">C16+D16+E16+F16</f>
        <v>0</v>
      </c>
      <c r="H16" s="119">
        <f t="shared" ref="H16" si="13">G16/B16*100</f>
        <v>0</v>
      </c>
      <c r="I16" s="119">
        <v>19</v>
      </c>
      <c r="J16" s="119">
        <v>4</v>
      </c>
      <c r="L16" s="51" t="s">
        <v>115</v>
      </c>
      <c r="M16" s="113">
        <v>176</v>
      </c>
      <c r="N16" s="107"/>
      <c r="O16" s="116"/>
      <c r="P16" s="116"/>
      <c r="Q16" s="116"/>
      <c r="R16" s="119">
        <f t="shared" ref="R16" si="14">N16+O16+P16+Q16</f>
        <v>0</v>
      </c>
      <c r="S16" s="110">
        <f t="shared" ref="S16" si="15">R16/M16*100</f>
        <v>0</v>
      </c>
      <c r="T16" s="110">
        <v>38</v>
      </c>
      <c r="U16" s="110">
        <v>8</v>
      </c>
    </row>
    <row r="17" spans="1:21" x14ac:dyDescent="0.3">
      <c r="A17" s="52" t="s">
        <v>116</v>
      </c>
      <c r="B17" s="114"/>
      <c r="C17" s="108"/>
      <c r="D17" s="117"/>
      <c r="E17" s="117"/>
      <c r="F17" s="117"/>
      <c r="G17" s="120"/>
      <c r="H17" s="120"/>
      <c r="I17" s="120"/>
      <c r="J17" s="120"/>
      <c r="L17" s="52" t="s">
        <v>116</v>
      </c>
      <c r="M17" s="114"/>
      <c r="N17" s="108"/>
      <c r="O17" s="117"/>
      <c r="P17" s="117"/>
      <c r="Q17" s="117"/>
      <c r="R17" s="120"/>
      <c r="S17" s="111"/>
      <c r="T17" s="111"/>
      <c r="U17" s="111"/>
    </row>
    <row r="18" spans="1:21" ht="39.299999999999997" x14ac:dyDescent="0.3">
      <c r="A18" s="53" t="s">
        <v>117</v>
      </c>
      <c r="B18" s="115"/>
      <c r="C18" s="109"/>
      <c r="D18" s="118"/>
      <c r="E18" s="118"/>
      <c r="F18" s="118"/>
      <c r="G18" s="121"/>
      <c r="H18" s="121"/>
      <c r="I18" s="121"/>
      <c r="J18" s="121"/>
      <c r="L18" s="53" t="s">
        <v>117</v>
      </c>
      <c r="M18" s="115"/>
      <c r="N18" s="109"/>
      <c r="O18" s="118"/>
      <c r="P18" s="118"/>
      <c r="Q18" s="118"/>
      <c r="R18" s="121"/>
      <c r="S18" s="112"/>
      <c r="T18" s="112"/>
      <c r="U18" s="112"/>
    </row>
    <row r="19" spans="1:21" x14ac:dyDescent="0.3">
      <c r="A19" s="54" t="s">
        <v>42</v>
      </c>
      <c r="B19" s="48">
        <v>550</v>
      </c>
      <c r="C19" s="57">
        <f t="shared" ref="C19:J19" si="16">SUM(C4:C18)</f>
        <v>0</v>
      </c>
      <c r="D19" s="57">
        <f t="shared" si="16"/>
        <v>0</v>
      </c>
      <c r="E19" s="57">
        <f t="shared" si="16"/>
        <v>0</v>
      </c>
      <c r="F19" s="63">
        <f t="shared" si="16"/>
        <v>0</v>
      </c>
      <c r="G19" s="63">
        <f t="shared" si="16"/>
        <v>0</v>
      </c>
      <c r="H19" s="64">
        <f t="shared" si="16"/>
        <v>0</v>
      </c>
      <c r="I19" s="64">
        <f t="shared" si="16"/>
        <v>95</v>
      </c>
      <c r="J19" s="64">
        <f t="shared" si="16"/>
        <v>36</v>
      </c>
      <c r="L19" s="54" t="s">
        <v>42</v>
      </c>
      <c r="M19" s="48">
        <f t="shared" ref="M19:U19" si="17">SUM(M4:M18)</f>
        <v>880</v>
      </c>
      <c r="N19" s="48">
        <f t="shared" si="17"/>
        <v>0</v>
      </c>
      <c r="O19" s="48">
        <f t="shared" si="17"/>
        <v>0</v>
      </c>
      <c r="P19" s="48">
        <f t="shared" si="17"/>
        <v>0</v>
      </c>
      <c r="Q19" s="64">
        <f t="shared" si="17"/>
        <v>0</v>
      </c>
      <c r="R19" s="64">
        <f t="shared" si="17"/>
        <v>0</v>
      </c>
      <c r="S19" s="64">
        <f t="shared" si="17"/>
        <v>0</v>
      </c>
      <c r="T19" s="64">
        <f t="shared" si="17"/>
        <v>190</v>
      </c>
      <c r="U19" s="64">
        <f t="shared" si="17"/>
        <v>72</v>
      </c>
    </row>
    <row r="20" spans="1:21" ht="14.4" customHeight="1" x14ac:dyDescent="0.3">
      <c r="A20" s="54" t="s">
        <v>43</v>
      </c>
      <c r="B20" s="132" t="s">
        <v>44</v>
      </c>
      <c r="C20" s="133"/>
      <c r="D20" s="133"/>
      <c r="E20" s="133"/>
      <c r="F20" s="133"/>
      <c r="G20" s="133"/>
      <c r="H20" s="133"/>
      <c r="I20" s="133"/>
      <c r="J20" s="134"/>
      <c r="L20" s="54" t="s">
        <v>43</v>
      </c>
      <c r="M20" s="104" t="s">
        <v>44</v>
      </c>
      <c r="N20" s="105"/>
      <c r="O20" s="105"/>
      <c r="P20" s="105"/>
      <c r="Q20" s="105"/>
      <c r="R20" s="105"/>
      <c r="S20" s="105"/>
      <c r="T20" s="105"/>
      <c r="U20" s="106"/>
    </row>
    <row r="23" spans="1:21" ht="14.4" customHeight="1" x14ac:dyDescent="0.3"/>
  </sheetData>
  <mergeCells count="108">
    <mergeCell ref="A1:J1"/>
    <mergeCell ref="A2:A3"/>
    <mergeCell ref="B2:B3"/>
    <mergeCell ref="C2:F2"/>
    <mergeCell ref="G2:G3"/>
    <mergeCell ref="H2:H3"/>
    <mergeCell ref="I2:I3"/>
    <mergeCell ref="J2:J3"/>
    <mergeCell ref="I4:I6"/>
    <mergeCell ref="J4:J6"/>
    <mergeCell ref="B7:B9"/>
    <mergeCell ref="D7:D9"/>
    <mergeCell ref="E7:E9"/>
    <mergeCell ref="F7:F9"/>
    <mergeCell ref="G7:G9"/>
    <mergeCell ref="H7:H9"/>
    <mergeCell ref="I7:I9"/>
    <mergeCell ref="J7:J9"/>
    <mergeCell ref="B4:B6"/>
    <mergeCell ref="D4:D6"/>
    <mergeCell ref="E4:E6"/>
    <mergeCell ref="F4:F6"/>
    <mergeCell ref="G4:G6"/>
    <mergeCell ref="H4:H6"/>
    <mergeCell ref="B13:B15"/>
    <mergeCell ref="D13:D15"/>
    <mergeCell ref="E13:E15"/>
    <mergeCell ref="F13:F15"/>
    <mergeCell ref="G13:G15"/>
    <mergeCell ref="H13:H15"/>
    <mergeCell ref="I13:I15"/>
    <mergeCell ref="J13:J15"/>
    <mergeCell ref="B10:B12"/>
    <mergeCell ref="D10:D12"/>
    <mergeCell ref="E10:E12"/>
    <mergeCell ref="F10:F12"/>
    <mergeCell ref="G10:G12"/>
    <mergeCell ref="H10:H12"/>
    <mergeCell ref="L1:U1"/>
    <mergeCell ref="L2:L3"/>
    <mergeCell ref="M2:M3"/>
    <mergeCell ref="N2:Q2"/>
    <mergeCell ref="R2:R3"/>
    <mergeCell ref="S2:S3"/>
    <mergeCell ref="T2:T3"/>
    <mergeCell ref="U2:U3"/>
    <mergeCell ref="B20:J20"/>
    <mergeCell ref="C4:C6"/>
    <mergeCell ref="C7:C9"/>
    <mergeCell ref="C10:C12"/>
    <mergeCell ref="C13:C15"/>
    <mergeCell ref="C16:C18"/>
    <mergeCell ref="I16:I18"/>
    <mergeCell ref="J16:J18"/>
    <mergeCell ref="B16:B18"/>
    <mergeCell ref="D16:D18"/>
    <mergeCell ref="E16:E18"/>
    <mergeCell ref="F16:F18"/>
    <mergeCell ref="G16:G18"/>
    <mergeCell ref="H16:H18"/>
    <mergeCell ref="I10:I12"/>
    <mergeCell ref="J10:J12"/>
    <mergeCell ref="M10:M12"/>
    <mergeCell ref="O10:O12"/>
    <mergeCell ref="P10:P12"/>
    <mergeCell ref="Q10:Q12"/>
    <mergeCell ref="R10:R12"/>
    <mergeCell ref="S10:S12"/>
    <mergeCell ref="T4:T6"/>
    <mergeCell ref="U4:U6"/>
    <mergeCell ref="M7:M9"/>
    <mergeCell ref="O7:O9"/>
    <mergeCell ref="P7:P9"/>
    <mergeCell ref="Q7:Q9"/>
    <mergeCell ref="R7:R9"/>
    <mergeCell ref="S7:S9"/>
    <mergeCell ref="T7:T9"/>
    <mergeCell ref="U7:U9"/>
    <mergeCell ref="M4:M6"/>
    <mergeCell ref="O4:O6"/>
    <mergeCell ref="P4:P6"/>
    <mergeCell ref="Q4:Q6"/>
    <mergeCell ref="R4:R6"/>
    <mergeCell ref="S4:S6"/>
    <mergeCell ref="M20:U20"/>
    <mergeCell ref="N4:N6"/>
    <mergeCell ref="N7:N9"/>
    <mergeCell ref="N10:N12"/>
    <mergeCell ref="N13:N15"/>
    <mergeCell ref="N16:N18"/>
    <mergeCell ref="T16:T18"/>
    <mergeCell ref="U16:U18"/>
    <mergeCell ref="M16:M18"/>
    <mergeCell ref="O16:O18"/>
    <mergeCell ref="P16:P18"/>
    <mergeCell ref="Q16:Q18"/>
    <mergeCell ref="R16:R18"/>
    <mergeCell ref="S16:S18"/>
    <mergeCell ref="T10:T12"/>
    <mergeCell ref="U10:U12"/>
    <mergeCell ref="M13:M15"/>
    <mergeCell ref="O13:O15"/>
    <mergeCell ref="P13:P15"/>
    <mergeCell ref="Q13:Q15"/>
    <mergeCell ref="R13:R15"/>
    <mergeCell ref="S13:S15"/>
    <mergeCell ref="T13:T15"/>
    <mergeCell ref="U13:U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3C42-F837-4A4A-B308-C88FF52CBA7F}">
  <dimension ref="A1:P20"/>
  <sheetViews>
    <sheetView workbookViewId="0">
      <selection activeCell="A11" sqref="A11"/>
    </sheetView>
  </sheetViews>
  <sheetFormatPr defaultRowHeight="15.05" x14ac:dyDescent="0.3"/>
  <cols>
    <col min="1" max="1" width="18.109375" customWidth="1"/>
    <col min="2" max="2" width="8.77734375" style="50"/>
    <col min="8" max="8" width="11.33203125" style="49" bestFit="1" customWidth="1"/>
  </cols>
  <sheetData>
    <row r="1" spans="1:16" x14ac:dyDescent="0.3">
      <c r="A1" s="122" t="s">
        <v>48</v>
      </c>
      <c r="B1" s="123"/>
      <c r="C1" s="123"/>
      <c r="D1" s="123"/>
      <c r="E1" s="123"/>
      <c r="F1" s="123"/>
      <c r="G1" s="123"/>
      <c r="H1" s="123"/>
      <c r="I1" s="123"/>
      <c r="J1" s="124"/>
    </row>
    <row r="2" spans="1:16" ht="45.65" customHeight="1" x14ac:dyDescent="0.3">
      <c r="A2" s="125" t="s">
        <v>33</v>
      </c>
      <c r="B2" s="138" t="s">
        <v>49</v>
      </c>
      <c r="C2" s="127" t="s">
        <v>47</v>
      </c>
      <c r="D2" s="128"/>
      <c r="E2" s="128"/>
      <c r="F2" s="129"/>
      <c r="G2" s="146" t="s">
        <v>36</v>
      </c>
      <c r="H2" s="146" t="s">
        <v>37</v>
      </c>
      <c r="I2" s="146" t="s">
        <v>38</v>
      </c>
      <c r="J2" s="148" t="s">
        <v>103</v>
      </c>
    </row>
    <row r="3" spans="1:16" x14ac:dyDescent="0.3">
      <c r="A3" s="126"/>
      <c r="B3" s="139"/>
      <c r="C3" s="57" t="s">
        <v>2</v>
      </c>
      <c r="D3" s="57" t="s">
        <v>3</v>
      </c>
      <c r="E3" s="57" t="s">
        <v>4</v>
      </c>
      <c r="F3" s="57" t="s">
        <v>5</v>
      </c>
      <c r="G3" s="147"/>
      <c r="H3" s="147"/>
      <c r="I3" s="147"/>
      <c r="J3" s="149"/>
    </row>
    <row r="4" spans="1:16" x14ac:dyDescent="0.3">
      <c r="A4" s="51" t="s">
        <v>104</v>
      </c>
      <c r="B4" s="113">
        <v>5280</v>
      </c>
      <c r="C4" s="110"/>
      <c r="D4" s="110"/>
      <c r="E4" s="110"/>
      <c r="F4" s="110"/>
      <c r="G4" s="110">
        <f>C4+D4+E4+F4</f>
        <v>0</v>
      </c>
      <c r="H4" s="110">
        <f>G4/B4*100</f>
        <v>0</v>
      </c>
      <c r="I4" s="143"/>
      <c r="J4" s="143"/>
      <c r="M4" s="55">
        <v>1216</v>
      </c>
      <c r="N4" s="55">
        <v>1488</v>
      </c>
      <c r="O4" s="55">
        <v>1220</v>
      </c>
      <c r="P4" s="55">
        <v>1770</v>
      </c>
    </row>
    <row r="5" spans="1:16" x14ac:dyDescent="0.3">
      <c r="A5" s="52" t="s">
        <v>105</v>
      </c>
      <c r="B5" s="114"/>
      <c r="C5" s="111"/>
      <c r="D5" s="111"/>
      <c r="E5" s="111"/>
      <c r="F5" s="111"/>
      <c r="G5" s="111"/>
      <c r="H5" s="111"/>
      <c r="I5" s="144"/>
      <c r="J5" s="144"/>
      <c r="M5" s="55">
        <v>1154</v>
      </c>
      <c r="N5" s="55">
        <v>1394</v>
      </c>
      <c r="O5" s="55">
        <v>681</v>
      </c>
      <c r="P5" s="55">
        <v>672</v>
      </c>
    </row>
    <row r="6" spans="1:16" x14ac:dyDescent="0.3">
      <c r="A6" s="53" t="s">
        <v>109</v>
      </c>
      <c r="B6" s="115"/>
      <c r="C6" s="112"/>
      <c r="D6" s="112"/>
      <c r="E6" s="112"/>
      <c r="F6" s="112"/>
      <c r="G6" s="112"/>
      <c r="H6" s="112"/>
      <c r="I6" s="145"/>
      <c r="J6" s="145"/>
      <c r="M6" s="55">
        <v>1712</v>
      </c>
      <c r="N6" s="55">
        <v>909</v>
      </c>
      <c r="O6" s="55">
        <v>891</v>
      </c>
      <c r="P6" s="55">
        <v>1623</v>
      </c>
    </row>
    <row r="7" spans="1:16" x14ac:dyDescent="0.3">
      <c r="A7" s="51" t="s">
        <v>106</v>
      </c>
      <c r="B7" s="113">
        <v>5280</v>
      </c>
      <c r="C7" s="110"/>
      <c r="D7" s="110"/>
      <c r="E7" s="110"/>
      <c r="F7" s="110"/>
      <c r="G7" s="110">
        <f t="shared" ref="G7" si="0">C7+D7+E7+F7</f>
        <v>0</v>
      </c>
      <c r="H7" s="110">
        <f t="shared" ref="H7" si="1">G7/B7*100</f>
        <v>0</v>
      </c>
      <c r="I7" s="143"/>
      <c r="J7" s="143"/>
      <c r="M7" s="55">
        <v>1218</v>
      </c>
      <c r="N7" s="55">
        <v>1633</v>
      </c>
      <c r="O7" s="55">
        <v>1110</v>
      </c>
      <c r="P7" s="55">
        <v>1131</v>
      </c>
    </row>
    <row r="8" spans="1:16" ht="15.75" thickBot="1" x14ac:dyDescent="0.35">
      <c r="A8" s="52" t="s">
        <v>107</v>
      </c>
      <c r="B8" s="114"/>
      <c r="C8" s="111"/>
      <c r="D8" s="111"/>
      <c r="E8" s="111"/>
      <c r="F8" s="111"/>
      <c r="G8" s="111"/>
      <c r="H8" s="111"/>
      <c r="I8" s="144"/>
      <c r="J8" s="144"/>
      <c r="M8" s="56">
        <v>1519</v>
      </c>
      <c r="N8" s="56">
        <v>1637</v>
      </c>
      <c r="O8" s="56">
        <v>1203</v>
      </c>
      <c r="P8" s="56">
        <v>1240</v>
      </c>
    </row>
    <row r="9" spans="1:16" x14ac:dyDescent="0.3">
      <c r="A9" s="53" t="s">
        <v>108</v>
      </c>
      <c r="B9" s="115"/>
      <c r="C9" s="112"/>
      <c r="D9" s="112"/>
      <c r="E9" s="112"/>
      <c r="F9" s="112"/>
      <c r="G9" s="112"/>
      <c r="H9" s="112"/>
      <c r="I9" s="145"/>
      <c r="J9" s="145"/>
    </row>
    <row r="10" spans="1:16" x14ac:dyDescent="0.3">
      <c r="A10" s="51" t="s">
        <v>110</v>
      </c>
      <c r="B10" s="113">
        <v>5280</v>
      </c>
      <c r="C10" s="110"/>
      <c r="D10" s="110"/>
      <c r="E10" s="110"/>
      <c r="F10" s="110"/>
      <c r="G10" s="110">
        <f t="shared" ref="G10" si="2">C10+D10+E10+F10</f>
        <v>0</v>
      </c>
      <c r="H10" s="110">
        <f t="shared" ref="H10" si="3">G10/B10*100</f>
        <v>0</v>
      </c>
      <c r="I10" s="143"/>
      <c r="J10" s="143"/>
    </row>
    <row r="11" spans="1:16" x14ac:dyDescent="0.3">
      <c r="A11" s="52" t="s">
        <v>127</v>
      </c>
      <c r="B11" s="114"/>
      <c r="C11" s="111"/>
      <c r="D11" s="111"/>
      <c r="E11" s="111"/>
      <c r="F11" s="111"/>
      <c r="G11" s="111"/>
      <c r="H11" s="111"/>
      <c r="I11" s="144"/>
      <c r="J11" s="144"/>
    </row>
    <row r="12" spans="1:16" ht="26.2" x14ac:dyDescent="0.3">
      <c r="A12" s="53" t="s">
        <v>111</v>
      </c>
      <c r="B12" s="115"/>
      <c r="C12" s="112"/>
      <c r="D12" s="112"/>
      <c r="E12" s="112"/>
      <c r="F12" s="112"/>
      <c r="G12" s="112"/>
      <c r="H12" s="112"/>
      <c r="I12" s="145"/>
      <c r="J12" s="145"/>
    </row>
    <row r="13" spans="1:16" x14ac:dyDescent="0.3">
      <c r="A13" s="51" t="s">
        <v>112</v>
      </c>
      <c r="B13" s="113">
        <v>5280</v>
      </c>
      <c r="C13" s="110"/>
      <c r="D13" s="110"/>
      <c r="E13" s="110"/>
      <c r="F13" s="110"/>
      <c r="G13" s="110">
        <f t="shared" ref="G13" si="4">C13+D13+E13+F13</f>
        <v>0</v>
      </c>
      <c r="H13" s="110">
        <f t="shared" ref="H13" si="5">G13/B13*100</f>
        <v>0</v>
      </c>
      <c r="I13" s="143"/>
      <c r="J13" s="143"/>
    </row>
    <row r="14" spans="1:16" x14ac:dyDescent="0.3">
      <c r="A14" s="52" t="s">
        <v>113</v>
      </c>
      <c r="B14" s="114"/>
      <c r="C14" s="111"/>
      <c r="D14" s="111"/>
      <c r="E14" s="111"/>
      <c r="F14" s="111"/>
      <c r="G14" s="111"/>
      <c r="H14" s="111"/>
      <c r="I14" s="144"/>
      <c r="J14" s="144"/>
    </row>
    <row r="15" spans="1:16" ht="26.2" x14ac:dyDescent="0.3">
      <c r="A15" s="53" t="s">
        <v>114</v>
      </c>
      <c r="B15" s="115"/>
      <c r="C15" s="112"/>
      <c r="D15" s="112"/>
      <c r="E15" s="112"/>
      <c r="F15" s="112"/>
      <c r="G15" s="112"/>
      <c r="H15" s="112"/>
      <c r="I15" s="145"/>
      <c r="J15" s="145"/>
    </row>
    <row r="16" spans="1:16" x14ac:dyDescent="0.3">
      <c r="A16" s="51" t="s">
        <v>115</v>
      </c>
      <c r="B16" s="113">
        <v>5280</v>
      </c>
      <c r="C16" s="110"/>
      <c r="D16" s="110"/>
      <c r="E16" s="110"/>
      <c r="F16" s="110"/>
      <c r="G16" s="110">
        <f t="shared" ref="G16" si="6">C16+D16+E16+F16</f>
        <v>0</v>
      </c>
      <c r="H16" s="110">
        <f t="shared" ref="H16" si="7">G16/B16*100</f>
        <v>0</v>
      </c>
      <c r="I16" s="143"/>
      <c r="J16" s="143"/>
    </row>
    <row r="17" spans="1:10" x14ac:dyDescent="0.3">
      <c r="A17" s="52" t="s">
        <v>116</v>
      </c>
      <c r="B17" s="114"/>
      <c r="C17" s="111"/>
      <c r="D17" s="111"/>
      <c r="E17" s="111"/>
      <c r="F17" s="111"/>
      <c r="G17" s="111"/>
      <c r="H17" s="111"/>
      <c r="I17" s="144"/>
      <c r="J17" s="144"/>
    </row>
    <row r="18" spans="1:10" ht="39.299999999999997" x14ac:dyDescent="0.3">
      <c r="A18" s="53" t="s">
        <v>117</v>
      </c>
      <c r="B18" s="115"/>
      <c r="C18" s="112"/>
      <c r="D18" s="112"/>
      <c r="E18" s="112"/>
      <c r="F18" s="112"/>
      <c r="G18" s="112"/>
      <c r="H18" s="112"/>
      <c r="I18" s="145"/>
      <c r="J18" s="145"/>
    </row>
    <row r="19" spans="1:10" x14ac:dyDescent="0.3">
      <c r="A19" s="61" t="s">
        <v>42</v>
      </c>
      <c r="B19" s="64">
        <f t="shared" ref="B19:G19" si="8">SUM(B4:B18)</f>
        <v>26400</v>
      </c>
      <c r="C19" s="64">
        <f t="shared" si="8"/>
        <v>0</v>
      </c>
      <c r="D19" s="64">
        <f t="shared" si="8"/>
        <v>0</v>
      </c>
      <c r="E19" s="64">
        <f t="shared" si="8"/>
        <v>0</v>
      </c>
      <c r="F19" s="64">
        <f t="shared" si="8"/>
        <v>0</v>
      </c>
      <c r="G19" s="64">
        <f t="shared" si="8"/>
        <v>0</v>
      </c>
      <c r="H19" s="68"/>
      <c r="I19" s="67"/>
      <c r="J19" s="67"/>
    </row>
    <row r="20" spans="1:10" ht="14.4" customHeight="1" x14ac:dyDescent="0.3">
      <c r="A20" s="61" t="s">
        <v>43</v>
      </c>
      <c r="B20" s="104" t="s">
        <v>44</v>
      </c>
      <c r="C20" s="105"/>
      <c r="D20" s="105"/>
      <c r="E20" s="105"/>
      <c r="F20" s="105"/>
      <c r="G20" s="105"/>
      <c r="H20" s="105"/>
      <c r="I20" s="105"/>
      <c r="J20" s="106"/>
    </row>
  </sheetData>
  <mergeCells count="54">
    <mergeCell ref="A1:J1"/>
    <mergeCell ref="A2:A3"/>
    <mergeCell ref="B2:B3"/>
    <mergeCell ref="C2:F2"/>
    <mergeCell ref="G2:G3"/>
    <mergeCell ref="H2:H3"/>
    <mergeCell ref="I2:I3"/>
    <mergeCell ref="J2:J3"/>
    <mergeCell ref="I4:I6"/>
    <mergeCell ref="J4:J6"/>
    <mergeCell ref="B7:B9"/>
    <mergeCell ref="D7:D9"/>
    <mergeCell ref="E7:E9"/>
    <mergeCell ref="F7:F9"/>
    <mergeCell ref="G7:G9"/>
    <mergeCell ref="H7:H9"/>
    <mergeCell ref="I7:I9"/>
    <mergeCell ref="J7:J9"/>
    <mergeCell ref="B4:B6"/>
    <mergeCell ref="D4:D6"/>
    <mergeCell ref="E4:E6"/>
    <mergeCell ref="F4:F6"/>
    <mergeCell ref="G4:G6"/>
    <mergeCell ref="H4:H6"/>
    <mergeCell ref="H13:H15"/>
    <mergeCell ref="I13:I15"/>
    <mergeCell ref="J13:J15"/>
    <mergeCell ref="B10:B12"/>
    <mergeCell ref="D10:D12"/>
    <mergeCell ref="E10:E12"/>
    <mergeCell ref="F10:F12"/>
    <mergeCell ref="G10:G12"/>
    <mergeCell ref="H10:H12"/>
    <mergeCell ref="B13:B15"/>
    <mergeCell ref="D13:D15"/>
    <mergeCell ref="E13:E15"/>
    <mergeCell ref="F13:F15"/>
    <mergeCell ref="G13:G15"/>
    <mergeCell ref="B20:J20"/>
    <mergeCell ref="C4:C6"/>
    <mergeCell ref="C7:C9"/>
    <mergeCell ref="C10:C12"/>
    <mergeCell ref="C13:C15"/>
    <mergeCell ref="C16:C18"/>
    <mergeCell ref="I16:I18"/>
    <mergeCell ref="J16:J18"/>
    <mergeCell ref="B16:B18"/>
    <mergeCell ref="D16:D18"/>
    <mergeCell ref="E16:E18"/>
    <mergeCell ref="F16:F18"/>
    <mergeCell ref="G16:G18"/>
    <mergeCell ref="H16:H18"/>
    <mergeCell ref="I10:I12"/>
    <mergeCell ref="J10:J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4E01-BDE1-4902-A916-44D3A97136A1}">
  <dimension ref="A1:U21"/>
  <sheetViews>
    <sheetView workbookViewId="0">
      <selection activeCell="Q17" sqref="Q17:Q19"/>
    </sheetView>
  </sheetViews>
  <sheetFormatPr defaultRowHeight="15.05" x14ac:dyDescent="0.3"/>
  <cols>
    <col min="1" max="1" width="18.33203125" customWidth="1"/>
    <col min="2" max="2" width="8.77734375" style="49"/>
  </cols>
  <sheetData>
    <row r="1" spans="1:21" x14ac:dyDescent="0.3">
      <c r="A1" s="171" t="s">
        <v>50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</row>
    <row r="2" spans="1:21" ht="47.45" customHeight="1" x14ac:dyDescent="0.3">
      <c r="A2" s="162" t="s">
        <v>33</v>
      </c>
      <c r="B2" s="173" t="s">
        <v>51</v>
      </c>
      <c r="C2" s="122" t="s">
        <v>35</v>
      </c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4"/>
      <c r="R2" s="130" t="s">
        <v>37</v>
      </c>
      <c r="S2" s="177" t="s">
        <v>52</v>
      </c>
      <c r="T2" s="178"/>
      <c r="U2" s="179"/>
    </row>
    <row r="3" spans="1:21" x14ac:dyDescent="0.3">
      <c r="A3" s="163"/>
      <c r="B3" s="174"/>
      <c r="C3" s="122" t="s">
        <v>2</v>
      </c>
      <c r="D3" s="123"/>
      <c r="E3" s="124"/>
      <c r="F3" s="122" t="s">
        <v>3</v>
      </c>
      <c r="G3" s="123"/>
      <c r="H3" s="124"/>
      <c r="I3" s="122" t="s">
        <v>53</v>
      </c>
      <c r="J3" s="123"/>
      <c r="K3" s="124"/>
      <c r="L3" s="122" t="s">
        <v>54</v>
      </c>
      <c r="M3" s="123"/>
      <c r="N3" s="124"/>
      <c r="O3" s="122" t="s">
        <v>55</v>
      </c>
      <c r="P3" s="123"/>
      <c r="Q3" s="124"/>
      <c r="R3" s="176"/>
      <c r="S3" s="148" t="s">
        <v>38</v>
      </c>
      <c r="T3" s="148" t="s">
        <v>56</v>
      </c>
      <c r="U3" s="148" t="s">
        <v>57</v>
      </c>
    </row>
    <row r="4" spans="1:21" ht="39.950000000000003" x14ac:dyDescent="0.3">
      <c r="A4" s="164"/>
      <c r="B4" s="175"/>
      <c r="C4" s="69" t="s">
        <v>58</v>
      </c>
      <c r="D4" s="69" t="s">
        <v>59</v>
      </c>
      <c r="E4" s="69" t="s">
        <v>60</v>
      </c>
      <c r="F4" s="69" t="s">
        <v>61</v>
      </c>
      <c r="G4" s="69" t="s">
        <v>62</v>
      </c>
      <c r="H4" s="69" t="s">
        <v>63</v>
      </c>
      <c r="I4" s="69" t="s">
        <v>64</v>
      </c>
      <c r="J4" s="69" t="s">
        <v>65</v>
      </c>
      <c r="K4" s="69" t="s">
        <v>66</v>
      </c>
      <c r="L4" s="69" t="s">
        <v>67</v>
      </c>
      <c r="M4" s="69" t="s">
        <v>68</v>
      </c>
      <c r="N4" s="69" t="s">
        <v>69</v>
      </c>
      <c r="O4" s="69" t="s">
        <v>70</v>
      </c>
      <c r="P4" s="69" t="s">
        <v>71</v>
      </c>
      <c r="Q4" s="69" t="s">
        <v>72</v>
      </c>
      <c r="R4" s="131"/>
      <c r="S4" s="149"/>
      <c r="T4" s="149"/>
      <c r="U4" s="149"/>
    </row>
    <row r="5" spans="1:21" x14ac:dyDescent="0.3">
      <c r="A5" s="51" t="s">
        <v>104</v>
      </c>
      <c r="B5" s="165">
        <v>2200</v>
      </c>
      <c r="C5" s="162"/>
      <c r="D5" s="162"/>
      <c r="E5" s="162">
        <v>0</v>
      </c>
      <c r="F5" s="168"/>
      <c r="G5" s="168"/>
      <c r="H5" s="156">
        <v>0</v>
      </c>
      <c r="I5" s="168"/>
      <c r="J5" s="168"/>
      <c r="K5" s="156">
        <v>0</v>
      </c>
      <c r="L5" s="168"/>
      <c r="M5" s="168"/>
      <c r="N5" s="156">
        <v>0</v>
      </c>
      <c r="O5" s="156">
        <v>0</v>
      </c>
      <c r="P5" s="156">
        <v>0</v>
      </c>
      <c r="Q5" s="156">
        <v>0</v>
      </c>
      <c r="R5" s="159"/>
      <c r="S5" s="153"/>
      <c r="T5" s="153"/>
      <c r="U5" s="153"/>
    </row>
    <row r="6" spans="1:21" x14ac:dyDescent="0.3">
      <c r="A6" s="52" t="s">
        <v>105</v>
      </c>
      <c r="B6" s="166"/>
      <c r="C6" s="163"/>
      <c r="D6" s="163"/>
      <c r="E6" s="163"/>
      <c r="F6" s="169"/>
      <c r="G6" s="169"/>
      <c r="H6" s="157"/>
      <c r="I6" s="169"/>
      <c r="J6" s="169"/>
      <c r="K6" s="157"/>
      <c r="L6" s="169"/>
      <c r="M6" s="169"/>
      <c r="N6" s="157"/>
      <c r="O6" s="157"/>
      <c r="P6" s="157"/>
      <c r="Q6" s="157"/>
      <c r="R6" s="160"/>
      <c r="S6" s="154"/>
      <c r="T6" s="154"/>
      <c r="U6" s="154"/>
    </row>
    <row r="7" spans="1:21" x14ac:dyDescent="0.3">
      <c r="A7" s="53" t="s">
        <v>109</v>
      </c>
      <c r="B7" s="167"/>
      <c r="C7" s="164"/>
      <c r="D7" s="164"/>
      <c r="E7" s="164"/>
      <c r="F7" s="170"/>
      <c r="G7" s="170"/>
      <c r="H7" s="158"/>
      <c r="I7" s="170"/>
      <c r="J7" s="170"/>
      <c r="K7" s="158"/>
      <c r="L7" s="170"/>
      <c r="M7" s="170"/>
      <c r="N7" s="158"/>
      <c r="O7" s="158"/>
      <c r="P7" s="158"/>
      <c r="Q7" s="158"/>
      <c r="R7" s="161"/>
      <c r="S7" s="155"/>
      <c r="T7" s="155"/>
      <c r="U7" s="155"/>
    </row>
    <row r="8" spans="1:21" x14ac:dyDescent="0.3">
      <c r="A8" s="51" t="s">
        <v>106</v>
      </c>
      <c r="B8" s="165">
        <v>2200</v>
      </c>
      <c r="C8" s="162"/>
      <c r="D8" s="162"/>
      <c r="E8" s="162">
        <v>0</v>
      </c>
      <c r="F8" s="168"/>
      <c r="G8" s="168"/>
      <c r="H8" s="156">
        <v>0</v>
      </c>
      <c r="I8" s="168"/>
      <c r="J8" s="168"/>
      <c r="K8" s="156">
        <v>0</v>
      </c>
      <c r="L8" s="168"/>
      <c r="M8" s="168"/>
      <c r="N8" s="156">
        <v>0</v>
      </c>
      <c r="O8" s="156">
        <v>0</v>
      </c>
      <c r="P8" s="156">
        <v>0</v>
      </c>
      <c r="Q8" s="156">
        <v>0</v>
      </c>
      <c r="R8" s="159"/>
      <c r="S8" s="153"/>
      <c r="T8" s="153"/>
      <c r="U8" s="153"/>
    </row>
    <row r="9" spans="1:21" x14ac:dyDescent="0.3">
      <c r="A9" s="52" t="s">
        <v>107</v>
      </c>
      <c r="B9" s="166"/>
      <c r="C9" s="163"/>
      <c r="D9" s="163"/>
      <c r="E9" s="163"/>
      <c r="F9" s="169"/>
      <c r="G9" s="169"/>
      <c r="H9" s="157"/>
      <c r="I9" s="169"/>
      <c r="J9" s="169"/>
      <c r="K9" s="157"/>
      <c r="L9" s="169"/>
      <c r="M9" s="169"/>
      <c r="N9" s="157"/>
      <c r="O9" s="157"/>
      <c r="P9" s="157"/>
      <c r="Q9" s="157"/>
      <c r="R9" s="160"/>
      <c r="S9" s="154"/>
      <c r="T9" s="154"/>
      <c r="U9" s="154"/>
    </row>
    <row r="10" spans="1:21" x14ac:dyDescent="0.3">
      <c r="A10" s="53" t="s">
        <v>108</v>
      </c>
      <c r="B10" s="167"/>
      <c r="C10" s="164"/>
      <c r="D10" s="164"/>
      <c r="E10" s="164"/>
      <c r="F10" s="170"/>
      <c r="G10" s="170"/>
      <c r="H10" s="158"/>
      <c r="I10" s="170"/>
      <c r="J10" s="170"/>
      <c r="K10" s="158"/>
      <c r="L10" s="170"/>
      <c r="M10" s="170"/>
      <c r="N10" s="158"/>
      <c r="O10" s="158"/>
      <c r="P10" s="158"/>
      <c r="Q10" s="158"/>
      <c r="R10" s="161"/>
      <c r="S10" s="155"/>
      <c r="T10" s="155"/>
      <c r="U10" s="155"/>
    </row>
    <row r="11" spans="1:21" x14ac:dyDescent="0.3">
      <c r="A11" s="51" t="s">
        <v>110</v>
      </c>
      <c r="B11" s="165">
        <v>2200</v>
      </c>
      <c r="C11" s="162"/>
      <c r="D11" s="162"/>
      <c r="E11" s="162">
        <v>0</v>
      </c>
      <c r="F11" s="162"/>
      <c r="G11" s="162"/>
      <c r="H11" s="156">
        <v>0</v>
      </c>
      <c r="I11" s="162"/>
      <c r="J11" s="162"/>
      <c r="K11" s="156">
        <v>0</v>
      </c>
      <c r="L11" s="162"/>
      <c r="M11" s="162"/>
      <c r="N11" s="156">
        <v>0</v>
      </c>
      <c r="O11" s="156">
        <v>0</v>
      </c>
      <c r="P11" s="156">
        <v>0</v>
      </c>
      <c r="Q11" s="156">
        <v>0</v>
      </c>
      <c r="R11" s="159"/>
      <c r="S11" s="153"/>
      <c r="T11" s="153"/>
      <c r="U11" s="153"/>
    </row>
    <row r="12" spans="1:21" x14ac:dyDescent="0.3">
      <c r="A12" s="52" t="s">
        <v>127</v>
      </c>
      <c r="B12" s="166"/>
      <c r="C12" s="163"/>
      <c r="D12" s="163"/>
      <c r="E12" s="163"/>
      <c r="F12" s="163"/>
      <c r="G12" s="163"/>
      <c r="H12" s="157"/>
      <c r="I12" s="163"/>
      <c r="J12" s="163"/>
      <c r="K12" s="157"/>
      <c r="L12" s="163"/>
      <c r="M12" s="163"/>
      <c r="N12" s="157"/>
      <c r="O12" s="157"/>
      <c r="P12" s="157"/>
      <c r="Q12" s="157"/>
      <c r="R12" s="160"/>
      <c r="S12" s="154"/>
      <c r="T12" s="154"/>
      <c r="U12" s="154"/>
    </row>
    <row r="13" spans="1:21" ht="26.2" x14ac:dyDescent="0.3">
      <c r="A13" s="53" t="s">
        <v>111</v>
      </c>
      <c r="B13" s="167"/>
      <c r="C13" s="164"/>
      <c r="D13" s="164"/>
      <c r="E13" s="164"/>
      <c r="F13" s="164"/>
      <c r="G13" s="164"/>
      <c r="H13" s="158"/>
      <c r="I13" s="164"/>
      <c r="J13" s="164"/>
      <c r="K13" s="158"/>
      <c r="L13" s="164"/>
      <c r="M13" s="164"/>
      <c r="N13" s="158"/>
      <c r="O13" s="158"/>
      <c r="P13" s="158"/>
      <c r="Q13" s="158"/>
      <c r="R13" s="161"/>
      <c r="S13" s="155"/>
      <c r="T13" s="155"/>
      <c r="U13" s="155"/>
    </row>
    <row r="14" spans="1:21" x14ac:dyDescent="0.3">
      <c r="A14" s="51" t="s">
        <v>112</v>
      </c>
      <c r="B14" s="165">
        <v>2200</v>
      </c>
      <c r="C14" s="162">
        <v>18</v>
      </c>
      <c r="D14" s="162">
        <v>0</v>
      </c>
      <c r="E14" s="162">
        <v>18</v>
      </c>
      <c r="F14" s="162">
        <v>144</v>
      </c>
      <c r="G14" s="162">
        <v>10</v>
      </c>
      <c r="H14" s="156">
        <v>154</v>
      </c>
      <c r="I14" s="162">
        <v>213</v>
      </c>
      <c r="J14" s="162">
        <v>109</v>
      </c>
      <c r="K14" s="156">
        <v>322</v>
      </c>
      <c r="L14" s="162">
        <v>124</v>
      </c>
      <c r="M14" s="162">
        <v>76</v>
      </c>
      <c r="N14" s="156">
        <v>200</v>
      </c>
      <c r="O14" s="156">
        <v>499</v>
      </c>
      <c r="P14" s="156">
        <v>195</v>
      </c>
      <c r="Q14" s="156">
        <v>694</v>
      </c>
      <c r="R14" s="159"/>
      <c r="S14" s="153"/>
      <c r="T14" s="153"/>
      <c r="U14" s="153"/>
    </row>
    <row r="15" spans="1:21" x14ac:dyDescent="0.3">
      <c r="A15" s="52" t="s">
        <v>113</v>
      </c>
      <c r="B15" s="166"/>
      <c r="C15" s="163"/>
      <c r="D15" s="163"/>
      <c r="E15" s="163"/>
      <c r="F15" s="163"/>
      <c r="G15" s="163"/>
      <c r="H15" s="157"/>
      <c r="I15" s="163"/>
      <c r="J15" s="163"/>
      <c r="K15" s="157"/>
      <c r="L15" s="163"/>
      <c r="M15" s="163"/>
      <c r="N15" s="157"/>
      <c r="O15" s="157"/>
      <c r="P15" s="157"/>
      <c r="Q15" s="157"/>
      <c r="R15" s="160"/>
      <c r="S15" s="154"/>
      <c r="T15" s="154"/>
      <c r="U15" s="154"/>
    </row>
    <row r="16" spans="1:21" ht="26.2" x14ac:dyDescent="0.3">
      <c r="A16" s="53" t="s">
        <v>114</v>
      </c>
      <c r="B16" s="167"/>
      <c r="C16" s="164"/>
      <c r="D16" s="164"/>
      <c r="E16" s="164"/>
      <c r="F16" s="164"/>
      <c r="G16" s="164"/>
      <c r="H16" s="158"/>
      <c r="I16" s="164"/>
      <c r="J16" s="164"/>
      <c r="K16" s="158"/>
      <c r="L16" s="164"/>
      <c r="M16" s="164"/>
      <c r="N16" s="158"/>
      <c r="O16" s="158"/>
      <c r="P16" s="158"/>
      <c r="Q16" s="158"/>
      <c r="R16" s="161"/>
      <c r="S16" s="155"/>
      <c r="T16" s="155"/>
      <c r="U16" s="155"/>
    </row>
    <row r="17" spans="1:21" x14ac:dyDescent="0.3">
      <c r="A17" s="51" t="s">
        <v>115</v>
      </c>
      <c r="B17" s="165">
        <v>2200</v>
      </c>
      <c r="C17" s="162">
        <v>25</v>
      </c>
      <c r="D17" s="162">
        <v>24</v>
      </c>
      <c r="E17" s="162">
        <v>49</v>
      </c>
      <c r="F17" s="162">
        <v>64</v>
      </c>
      <c r="G17" s="162">
        <v>52</v>
      </c>
      <c r="H17" s="156">
        <v>116</v>
      </c>
      <c r="I17" s="162">
        <v>128</v>
      </c>
      <c r="J17" s="162">
        <v>108</v>
      </c>
      <c r="K17" s="156">
        <v>236</v>
      </c>
      <c r="L17" s="162">
        <v>162</v>
      </c>
      <c r="M17" s="162">
        <v>99</v>
      </c>
      <c r="N17" s="156">
        <v>261</v>
      </c>
      <c r="O17" s="156">
        <v>379</v>
      </c>
      <c r="P17" s="156">
        <v>283</v>
      </c>
      <c r="Q17" s="156">
        <v>662</v>
      </c>
      <c r="R17" s="159"/>
      <c r="S17" s="153"/>
      <c r="T17" s="153"/>
      <c r="U17" s="153"/>
    </row>
    <row r="18" spans="1:21" x14ac:dyDescent="0.3">
      <c r="A18" s="52" t="s">
        <v>116</v>
      </c>
      <c r="B18" s="166"/>
      <c r="C18" s="163"/>
      <c r="D18" s="163"/>
      <c r="E18" s="163"/>
      <c r="F18" s="163"/>
      <c r="G18" s="163"/>
      <c r="H18" s="157"/>
      <c r="I18" s="163"/>
      <c r="J18" s="163"/>
      <c r="K18" s="157"/>
      <c r="L18" s="163"/>
      <c r="M18" s="163"/>
      <c r="N18" s="157"/>
      <c r="O18" s="157"/>
      <c r="P18" s="157"/>
      <c r="Q18" s="157"/>
      <c r="R18" s="160"/>
      <c r="S18" s="154"/>
      <c r="T18" s="154"/>
      <c r="U18" s="154"/>
    </row>
    <row r="19" spans="1:21" ht="39.299999999999997" x14ac:dyDescent="0.3">
      <c r="A19" s="53" t="s">
        <v>117</v>
      </c>
      <c r="B19" s="167"/>
      <c r="C19" s="164"/>
      <c r="D19" s="164"/>
      <c r="E19" s="164"/>
      <c r="F19" s="164"/>
      <c r="G19" s="164"/>
      <c r="H19" s="158"/>
      <c r="I19" s="164"/>
      <c r="J19" s="164"/>
      <c r="K19" s="158"/>
      <c r="L19" s="164"/>
      <c r="M19" s="164"/>
      <c r="N19" s="158"/>
      <c r="O19" s="158"/>
      <c r="P19" s="158"/>
      <c r="Q19" s="158"/>
      <c r="R19" s="161"/>
      <c r="S19" s="155"/>
      <c r="T19" s="155"/>
      <c r="U19" s="155"/>
    </row>
    <row r="20" spans="1:21" ht="22.95" x14ac:dyDescent="0.35">
      <c r="A20" s="70" t="s">
        <v>42</v>
      </c>
      <c r="B20" s="83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2"/>
      <c r="P20" s="73"/>
      <c r="Q20" s="74"/>
      <c r="R20" s="75"/>
      <c r="S20" s="76"/>
      <c r="T20" s="76"/>
      <c r="U20" s="76"/>
    </row>
    <row r="21" spans="1:21" ht="22.95" x14ac:dyDescent="0.35">
      <c r="A21" s="70" t="s">
        <v>43</v>
      </c>
      <c r="B21" s="150" t="s">
        <v>44</v>
      </c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2"/>
      <c r="U21" s="77"/>
    </row>
  </sheetData>
  <mergeCells count="115">
    <mergeCell ref="H5:H7"/>
    <mergeCell ref="I5:I7"/>
    <mergeCell ref="J5:J7"/>
    <mergeCell ref="K5:K7"/>
    <mergeCell ref="L5:L7"/>
    <mergeCell ref="A1:U1"/>
    <mergeCell ref="A2:A4"/>
    <mergeCell ref="B2:B4"/>
    <mergeCell ref="C2:Q2"/>
    <mergeCell ref="R2:R4"/>
    <mergeCell ref="S2:U2"/>
    <mergeCell ref="C3:E3"/>
    <mergeCell ref="F3:H3"/>
    <mergeCell ref="I3:K3"/>
    <mergeCell ref="L3:N3"/>
    <mergeCell ref="O3:Q3"/>
    <mergeCell ref="S3:S4"/>
    <mergeCell ref="T3:T4"/>
    <mergeCell ref="U3:U4"/>
    <mergeCell ref="M5:M7"/>
    <mergeCell ref="B5:B7"/>
    <mergeCell ref="C5:C7"/>
    <mergeCell ref="D5:D7"/>
    <mergeCell ref="E5:E7"/>
    <mergeCell ref="F5:F7"/>
    <mergeCell ref="G5:G7"/>
    <mergeCell ref="U8:U10"/>
    <mergeCell ref="J8:J10"/>
    <mergeCell ref="K8:K10"/>
    <mergeCell ref="L8:L10"/>
    <mergeCell ref="M8:M10"/>
    <mergeCell ref="N8:N10"/>
    <mergeCell ref="O8:O10"/>
    <mergeCell ref="T5:T7"/>
    <mergeCell ref="U5:U7"/>
    <mergeCell ref="O5:O7"/>
    <mergeCell ref="P5:P7"/>
    <mergeCell ref="Q5:Q7"/>
    <mergeCell ref="R5:R7"/>
    <mergeCell ref="S5:S7"/>
    <mergeCell ref="N5:N7"/>
    <mergeCell ref="B8:B10"/>
    <mergeCell ref="C8:C10"/>
    <mergeCell ref="D11:D13"/>
    <mergeCell ref="E11:E13"/>
    <mergeCell ref="F11:F13"/>
    <mergeCell ref="G11:G13"/>
    <mergeCell ref="P8:P10"/>
    <mergeCell ref="Q8:Q10"/>
    <mergeCell ref="R8:R10"/>
    <mergeCell ref="S8:S10"/>
    <mergeCell ref="T8:T10"/>
    <mergeCell ref="T11:T13"/>
    <mergeCell ref="H8:H10"/>
    <mergeCell ref="I8:I10"/>
    <mergeCell ref="D8:D10"/>
    <mergeCell ref="E8:E10"/>
    <mergeCell ref="F8:F10"/>
    <mergeCell ref="G8:G10"/>
    <mergeCell ref="U11:U13"/>
    <mergeCell ref="B14:B16"/>
    <mergeCell ref="C14:C16"/>
    <mergeCell ref="D14:D16"/>
    <mergeCell ref="E14:E16"/>
    <mergeCell ref="F14:F16"/>
    <mergeCell ref="G14:G16"/>
    <mergeCell ref="H14:H16"/>
    <mergeCell ref="I14:I16"/>
    <mergeCell ref="N11:N13"/>
    <mergeCell ref="O11:O13"/>
    <mergeCell ref="P11:P13"/>
    <mergeCell ref="Q11:Q13"/>
    <mergeCell ref="R11:R13"/>
    <mergeCell ref="S11:S13"/>
    <mergeCell ref="H11:H13"/>
    <mergeCell ref="I11:I13"/>
    <mergeCell ref="J11:J13"/>
    <mergeCell ref="K11:K13"/>
    <mergeCell ref="L11:L13"/>
    <mergeCell ref="M11:M13"/>
    <mergeCell ref="B11:B13"/>
    <mergeCell ref="C11:C13"/>
    <mergeCell ref="P14:P16"/>
    <mergeCell ref="Q14:Q16"/>
    <mergeCell ref="R14:R16"/>
    <mergeCell ref="S14:S16"/>
    <mergeCell ref="T14:T16"/>
    <mergeCell ref="U14:U16"/>
    <mergeCell ref="J14:J16"/>
    <mergeCell ref="K14:K16"/>
    <mergeCell ref="L14:L16"/>
    <mergeCell ref="M14:M16"/>
    <mergeCell ref="N14:N16"/>
    <mergeCell ref="O14:O16"/>
    <mergeCell ref="B21:T21"/>
    <mergeCell ref="T17:T19"/>
    <mergeCell ref="U17:U19"/>
    <mergeCell ref="N17:N19"/>
    <mergeCell ref="O17:O19"/>
    <mergeCell ref="P17:P19"/>
    <mergeCell ref="Q17:Q19"/>
    <mergeCell ref="R17:R19"/>
    <mergeCell ref="S17:S19"/>
    <mergeCell ref="H17:H19"/>
    <mergeCell ref="I17:I19"/>
    <mergeCell ref="J17:J19"/>
    <mergeCell ref="K17:K19"/>
    <mergeCell ref="L17:L19"/>
    <mergeCell ref="M17:M19"/>
    <mergeCell ref="B17:B19"/>
    <mergeCell ref="C17:C19"/>
    <mergeCell ref="D17:D19"/>
    <mergeCell ref="E17:E19"/>
    <mergeCell ref="F17:F19"/>
    <mergeCell ref="G17:G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BF08-2BFE-48CC-BCE0-E0DB554B1F9E}">
  <dimension ref="A1:F11"/>
  <sheetViews>
    <sheetView workbookViewId="0">
      <selection activeCell="I1" sqref="I1"/>
    </sheetView>
  </sheetViews>
  <sheetFormatPr defaultRowHeight="15.05" x14ac:dyDescent="0.3"/>
  <cols>
    <col min="1" max="1" width="20.33203125" style="49" customWidth="1"/>
    <col min="2" max="2" width="15.88671875" customWidth="1"/>
    <col min="3" max="3" width="16" customWidth="1"/>
    <col min="4" max="4" width="14.88671875" customWidth="1"/>
    <col min="5" max="5" width="16.44140625" customWidth="1"/>
    <col min="6" max="6" width="16.109375" customWidth="1"/>
  </cols>
  <sheetData>
    <row r="1" spans="1:6" x14ac:dyDescent="0.3">
      <c r="A1" s="47"/>
      <c r="B1" s="78" t="s">
        <v>105</v>
      </c>
      <c r="C1" s="78" t="s">
        <v>107</v>
      </c>
      <c r="D1" s="78" t="s">
        <v>123</v>
      </c>
      <c r="E1" s="78" t="s">
        <v>113</v>
      </c>
      <c r="F1" s="78" t="s">
        <v>124</v>
      </c>
    </row>
    <row r="2" spans="1:6" ht="32.75" x14ac:dyDescent="0.3">
      <c r="A2" s="47"/>
      <c r="B2" s="78" t="s">
        <v>109</v>
      </c>
      <c r="C2" s="78" t="s">
        <v>108</v>
      </c>
      <c r="D2" s="78" t="s">
        <v>125</v>
      </c>
      <c r="E2" s="78" t="s">
        <v>126</v>
      </c>
      <c r="F2" s="78" t="s">
        <v>117</v>
      </c>
    </row>
    <row r="3" spans="1:6" x14ac:dyDescent="0.3">
      <c r="A3" s="47"/>
      <c r="B3" s="78"/>
      <c r="C3" s="78"/>
      <c r="D3" s="78"/>
      <c r="E3" s="78"/>
      <c r="F3" s="78"/>
    </row>
    <row r="4" spans="1:6" x14ac:dyDescent="0.3">
      <c r="A4" s="66" t="s">
        <v>73</v>
      </c>
      <c r="B4" s="62"/>
      <c r="C4" s="62"/>
      <c r="D4" s="62"/>
      <c r="E4" s="62"/>
      <c r="F4" s="62"/>
    </row>
    <row r="5" spans="1:6" x14ac:dyDescent="0.3">
      <c r="A5" s="66" t="s">
        <v>74</v>
      </c>
      <c r="B5" s="62"/>
      <c r="C5" s="62"/>
      <c r="D5" s="62"/>
      <c r="E5" s="62"/>
      <c r="F5" s="62"/>
    </row>
    <row r="6" spans="1:6" x14ac:dyDescent="0.3">
      <c r="A6" s="66" t="s">
        <v>75</v>
      </c>
      <c r="B6" s="62"/>
      <c r="C6" s="62"/>
      <c r="D6" s="62"/>
      <c r="E6" s="62"/>
      <c r="F6" s="62"/>
    </row>
    <row r="7" spans="1:6" x14ac:dyDescent="0.3">
      <c r="A7" s="66" t="s">
        <v>76</v>
      </c>
      <c r="B7" s="62"/>
      <c r="C7" s="62"/>
      <c r="D7" s="62"/>
      <c r="E7" s="62"/>
      <c r="F7" s="62"/>
    </row>
    <row r="8" spans="1:6" x14ac:dyDescent="0.3">
      <c r="A8" s="66" t="s">
        <v>77</v>
      </c>
      <c r="B8" s="62"/>
      <c r="C8" s="62"/>
      <c r="D8" s="62"/>
      <c r="E8" s="62"/>
      <c r="F8" s="62"/>
    </row>
    <row r="9" spans="1:6" x14ac:dyDescent="0.3">
      <c r="A9" s="66" t="s">
        <v>78</v>
      </c>
      <c r="B9" s="62"/>
      <c r="C9" s="62"/>
      <c r="D9" s="62"/>
      <c r="E9" s="62"/>
      <c r="F9" s="62"/>
    </row>
    <row r="10" spans="1:6" x14ac:dyDescent="0.3">
      <c r="A10" s="66" t="s">
        <v>79</v>
      </c>
      <c r="B10" s="62"/>
      <c r="C10" s="62"/>
      <c r="D10" s="62"/>
      <c r="E10" s="62"/>
      <c r="F10" s="62"/>
    </row>
    <row r="11" spans="1:6" ht="17.2" customHeight="1" x14ac:dyDescent="0.3">
      <c r="A11" s="180" t="s">
        <v>80</v>
      </c>
      <c r="B11" s="181"/>
      <c r="C11" s="181"/>
      <c r="D11" s="181"/>
      <c r="E11" s="181"/>
      <c r="F11" s="181"/>
    </row>
  </sheetData>
  <mergeCells count="1">
    <mergeCell ref="A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1B1E-55B8-4251-8336-E9D8E4EC3193}">
  <dimension ref="A1:G7"/>
  <sheetViews>
    <sheetView workbookViewId="0">
      <selection activeCell="G2" sqref="G2:G6"/>
    </sheetView>
  </sheetViews>
  <sheetFormatPr defaultRowHeight="15.05" x14ac:dyDescent="0.3"/>
  <cols>
    <col min="1" max="1" width="4.6640625" customWidth="1"/>
    <col min="2" max="2" width="14.109375" customWidth="1"/>
    <col min="6" max="6" width="10.109375" bestFit="1" customWidth="1"/>
    <col min="7" max="7" width="21.77734375" customWidth="1"/>
  </cols>
  <sheetData>
    <row r="1" spans="1:7" ht="90.35" x14ac:dyDescent="0.3">
      <c r="A1" s="64" t="s">
        <v>81</v>
      </c>
      <c r="B1" s="64" t="s">
        <v>33</v>
      </c>
      <c r="C1" s="64" t="s">
        <v>82</v>
      </c>
      <c r="D1" s="64" t="s">
        <v>83</v>
      </c>
      <c r="E1" s="64" t="s">
        <v>84</v>
      </c>
      <c r="F1" s="64" t="s">
        <v>85</v>
      </c>
      <c r="G1" s="64" t="s">
        <v>86</v>
      </c>
    </row>
    <row r="2" spans="1:7" x14ac:dyDescent="0.3">
      <c r="A2" s="65">
        <v>1</v>
      </c>
      <c r="B2" s="65" t="s">
        <v>118</v>
      </c>
      <c r="C2" s="65">
        <v>20</v>
      </c>
      <c r="D2" s="65"/>
      <c r="E2" s="65"/>
      <c r="F2" s="82"/>
      <c r="G2" s="79"/>
    </row>
    <row r="3" spans="1:7" x14ac:dyDescent="0.3">
      <c r="A3" s="65">
        <v>2</v>
      </c>
      <c r="B3" s="65" t="s">
        <v>119</v>
      </c>
      <c r="C3" s="65">
        <v>20</v>
      </c>
      <c r="D3" s="65"/>
      <c r="E3" s="65"/>
      <c r="F3" s="65"/>
      <c r="G3" s="80"/>
    </row>
    <row r="4" spans="1:7" ht="30.15" x14ac:dyDescent="0.3">
      <c r="A4" s="65">
        <v>3</v>
      </c>
      <c r="B4" s="65" t="s">
        <v>120</v>
      </c>
      <c r="C4" s="65">
        <v>20</v>
      </c>
      <c r="D4" s="65"/>
      <c r="E4" s="65"/>
      <c r="F4" s="65"/>
      <c r="G4" s="80"/>
    </row>
    <row r="5" spans="1:7" ht="30.15" x14ac:dyDescent="0.3">
      <c r="A5" s="65">
        <v>4</v>
      </c>
      <c r="B5" s="65" t="s">
        <v>121</v>
      </c>
      <c r="C5" s="65">
        <v>20</v>
      </c>
      <c r="D5" s="65"/>
      <c r="E5" s="65"/>
      <c r="F5" s="65"/>
      <c r="G5" s="80"/>
    </row>
    <row r="6" spans="1:7" ht="30.15" x14ac:dyDescent="0.3">
      <c r="A6" s="65">
        <v>5</v>
      </c>
      <c r="B6" s="65" t="s">
        <v>122</v>
      </c>
      <c r="C6" s="65">
        <v>20</v>
      </c>
      <c r="D6" s="65"/>
      <c r="E6" s="65"/>
      <c r="F6" s="65"/>
      <c r="G6" s="81"/>
    </row>
    <row r="7" spans="1:7" ht="14.4" customHeight="1" x14ac:dyDescent="0.3">
      <c r="A7" s="182" t="s">
        <v>87</v>
      </c>
      <c r="B7" s="183"/>
      <c r="C7" s="183"/>
      <c r="D7" s="183"/>
      <c r="E7" s="183"/>
      <c r="F7" s="183"/>
      <c r="G7" s="184"/>
    </row>
  </sheetData>
  <mergeCells count="1">
    <mergeCell ref="A7:G7"/>
  </mergeCells>
  <conditionalFormatting sqref="G2">
    <cfRule type="colorScale" priority="5">
      <colorScale>
        <cfvo type="formula" val="6"/>
        <cfvo type="formula" val="20"/>
        <cfvo type="max"/>
        <color rgb="FFFF0000"/>
        <color rgb="FF57BB8A"/>
        <color rgb="FFFFFFFF"/>
      </colorScale>
    </cfRule>
  </conditionalFormatting>
  <conditionalFormatting sqref="G3">
    <cfRule type="colorScale" priority="4">
      <colorScale>
        <cfvo type="formula" val="6"/>
        <cfvo type="formula" val="20"/>
        <cfvo type="max"/>
        <color rgb="FFFF0000"/>
        <color rgb="FF57BB8A"/>
        <color rgb="FFFFFFFF"/>
      </colorScale>
    </cfRule>
  </conditionalFormatting>
  <conditionalFormatting sqref="G4">
    <cfRule type="colorScale" priority="3">
      <colorScale>
        <cfvo type="formula" val="6"/>
        <cfvo type="formula" val="20"/>
        <cfvo type="max"/>
        <color rgb="FFFF0000"/>
        <color rgb="FF57BB8A"/>
        <color rgb="FFFFFFFF"/>
      </colorScale>
    </cfRule>
  </conditionalFormatting>
  <conditionalFormatting sqref="G5">
    <cfRule type="colorScale" priority="2">
      <colorScale>
        <cfvo type="formula" val="6"/>
        <cfvo type="formula" val="20"/>
        <cfvo type="max"/>
        <color rgb="FFFF0000"/>
        <color rgb="FF57BB8A"/>
        <color rgb="FFFFFFFF"/>
      </colorScale>
    </cfRule>
  </conditionalFormatting>
  <conditionalFormatting sqref="G6">
    <cfRule type="colorScale" priority="1">
      <colorScale>
        <cfvo type="formula" val="6"/>
        <cfvo type="formula" val="20"/>
        <cfvo type="max"/>
        <color rgb="FFFF0000"/>
        <color rgb="FF57BB8A"/>
        <color rgb="FFFFFFF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80FD-98F1-46C8-B695-D3D88DFB2453}">
  <dimension ref="A1:U22"/>
  <sheetViews>
    <sheetView workbookViewId="0">
      <selection activeCell="A4" sqref="A4"/>
    </sheetView>
  </sheetViews>
  <sheetFormatPr defaultRowHeight="15.05" x14ac:dyDescent="0.3"/>
  <cols>
    <col min="1" max="1" width="20.21875" customWidth="1"/>
  </cols>
  <sheetData>
    <row r="1" spans="1:21" x14ac:dyDescent="0.3">
      <c r="A1" s="125" t="s">
        <v>33</v>
      </c>
      <c r="B1" s="125" t="s">
        <v>88</v>
      </c>
      <c r="C1" s="125" t="s">
        <v>89</v>
      </c>
      <c r="D1" s="127" t="s">
        <v>90</v>
      </c>
      <c r="E1" s="128"/>
      <c r="F1" s="128"/>
      <c r="G1" s="128"/>
      <c r="H1" s="129"/>
      <c r="I1" s="127" t="s">
        <v>91</v>
      </c>
      <c r="J1" s="128"/>
      <c r="K1" s="128"/>
      <c r="L1" s="128"/>
      <c r="M1" s="129"/>
      <c r="N1" s="127" t="s">
        <v>92</v>
      </c>
      <c r="O1" s="128"/>
      <c r="P1" s="128"/>
      <c r="Q1" s="129"/>
      <c r="R1" s="127" t="s">
        <v>93</v>
      </c>
      <c r="S1" s="128"/>
      <c r="T1" s="129"/>
      <c r="U1" s="125" t="s">
        <v>94</v>
      </c>
    </row>
    <row r="2" spans="1:21" x14ac:dyDescent="0.3">
      <c r="A2" s="188"/>
      <c r="B2" s="188"/>
      <c r="C2" s="188"/>
      <c r="D2" s="125" t="s">
        <v>95</v>
      </c>
      <c r="E2" s="125" t="s">
        <v>96</v>
      </c>
      <c r="F2" s="127" t="s">
        <v>97</v>
      </c>
      <c r="G2" s="129"/>
      <c r="H2" s="125" t="s">
        <v>98</v>
      </c>
      <c r="I2" s="125" t="s">
        <v>95</v>
      </c>
      <c r="J2" s="125" t="s">
        <v>96</v>
      </c>
      <c r="K2" s="127" t="s">
        <v>97</v>
      </c>
      <c r="L2" s="129"/>
      <c r="M2" s="125" t="s">
        <v>98</v>
      </c>
      <c r="N2" s="127" t="s">
        <v>99</v>
      </c>
      <c r="O2" s="129"/>
      <c r="P2" s="127" t="s">
        <v>100</v>
      </c>
      <c r="Q2" s="129"/>
      <c r="R2" s="127" t="s">
        <v>101</v>
      </c>
      <c r="S2" s="129"/>
      <c r="T2" s="61"/>
      <c r="U2" s="188"/>
    </row>
    <row r="3" spans="1:21" ht="38" x14ac:dyDescent="0.3">
      <c r="A3" s="126"/>
      <c r="B3" s="126"/>
      <c r="C3" s="126"/>
      <c r="D3" s="126"/>
      <c r="E3" s="126"/>
      <c r="F3" s="57" t="s">
        <v>95</v>
      </c>
      <c r="G3" s="57" t="s">
        <v>96</v>
      </c>
      <c r="H3" s="126"/>
      <c r="I3" s="126"/>
      <c r="J3" s="126"/>
      <c r="K3" s="57" t="s">
        <v>95</v>
      </c>
      <c r="L3" s="57" t="s">
        <v>96</v>
      </c>
      <c r="M3" s="126"/>
      <c r="N3" s="61" t="s">
        <v>102</v>
      </c>
      <c r="O3" s="61" t="s">
        <v>96</v>
      </c>
      <c r="P3" s="61" t="s">
        <v>102</v>
      </c>
      <c r="Q3" s="61" t="s">
        <v>96</v>
      </c>
      <c r="R3" s="61" t="s">
        <v>102</v>
      </c>
      <c r="S3" s="61" t="s">
        <v>96</v>
      </c>
      <c r="T3" s="61" t="s">
        <v>98</v>
      </c>
      <c r="U3" s="126"/>
    </row>
    <row r="4" spans="1:21" x14ac:dyDescent="0.3">
      <c r="A4" s="51" t="s">
        <v>104</v>
      </c>
      <c r="B4" s="125"/>
      <c r="C4" s="125"/>
      <c r="D4" s="12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</row>
    <row r="5" spans="1:21" x14ac:dyDescent="0.3">
      <c r="A5" s="52" t="s">
        <v>105</v>
      </c>
      <c r="B5" s="188"/>
      <c r="C5" s="188"/>
      <c r="D5" s="188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</row>
    <row r="6" spans="1:21" x14ac:dyDescent="0.3">
      <c r="A6" s="53" t="s">
        <v>109</v>
      </c>
      <c r="B6" s="126"/>
      <c r="C6" s="126"/>
      <c r="D6" s="126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</row>
    <row r="7" spans="1:21" x14ac:dyDescent="0.3">
      <c r="A7" s="51" t="s">
        <v>106</v>
      </c>
      <c r="B7" s="125"/>
      <c r="C7" s="125"/>
      <c r="D7" s="12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</row>
    <row r="8" spans="1:21" x14ac:dyDescent="0.3">
      <c r="A8" s="52" t="s">
        <v>107</v>
      </c>
      <c r="B8" s="188"/>
      <c r="C8" s="188"/>
      <c r="D8" s="188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</row>
    <row r="9" spans="1:21" x14ac:dyDescent="0.3">
      <c r="A9" s="53" t="s">
        <v>108</v>
      </c>
      <c r="B9" s="126"/>
      <c r="C9" s="126"/>
      <c r="D9" s="126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</row>
    <row r="10" spans="1:21" x14ac:dyDescent="0.3">
      <c r="A10" s="51" t="s">
        <v>110</v>
      </c>
      <c r="B10" s="125"/>
      <c r="C10" s="125"/>
      <c r="D10" s="12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</row>
    <row r="11" spans="1:21" x14ac:dyDescent="0.3">
      <c r="A11" s="52" t="s">
        <v>127</v>
      </c>
      <c r="B11" s="188"/>
      <c r="C11" s="188"/>
      <c r="D11" s="188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</row>
    <row r="12" spans="1:21" x14ac:dyDescent="0.3">
      <c r="A12" s="53" t="s">
        <v>111</v>
      </c>
      <c r="B12" s="126"/>
      <c r="C12" s="126"/>
      <c r="D12" s="126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</row>
    <row r="13" spans="1:21" x14ac:dyDescent="0.3">
      <c r="A13" s="51" t="s">
        <v>112</v>
      </c>
      <c r="B13" s="125"/>
      <c r="C13" s="125"/>
      <c r="D13" s="12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</row>
    <row r="14" spans="1:21" x14ac:dyDescent="0.3">
      <c r="A14" s="52" t="s">
        <v>113</v>
      </c>
      <c r="B14" s="188"/>
      <c r="C14" s="188"/>
      <c r="D14" s="188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</row>
    <row r="15" spans="1:21" ht="26.2" x14ac:dyDescent="0.3">
      <c r="A15" s="53" t="s">
        <v>114</v>
      </c>
      <c r="B15" s="126"/>
      <c r="C15" s="126"/>
      <c r="D15" s="126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</row>
    <row r="16" spans="1:21" x14ac:dyDescent="0.3">
      <c r="A16" s="51" t="s">
        <v>115</v>
      </c>
      <c r="B16" s="125"/>
      <c r="C16" s="125"/>
      <c r="D16" s="12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</row>
    <row r="17" spans="1:21" x14ac:dyDescent="0.3">
      <c r="A17" s="52" t="s">
        <v>116</v>
      </c>
      <c r="B17" s="188"/>
      <c r="C17" s="188"/>
      <c r="D17" s="188"/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</row>
    <row r="18" spans="1:21" ht="39.299999999999997" x14ac:dyDescent="0.3">
      <c r="A18" s="53" t="s">
        <v>117</v>
      </c>
      <c r="B18" s="126"/>
      <c r="C18" s="126"/>
      <c r="D18" s="126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</row>
    <row r="19" spans="1:21" x14ac:dyDescent="0.3">
      <c r="A19" s="58" t="s">
        <v>39</v>
      </c>
      <c r="B19" s="125"/>
      <c r="C19" s="125"/>
      <c r="D19" s="12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</row>
    <row r="20" spans="1:21" x14ac:dyDescent="0.3">
      <c r="A20" s="59" t="s">
        <v>40</v>
      </c>
      <c r="B20" s="188"/>
      <c r="C20" s="188"/>
      <c r="D20" s="188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</row>
    <row r="21" spans="1:21" x14ac:dyDescent="0.3">
      <c r="A21" s="60" t="s">
        <v>41</v>
      </c>
      <c r="B21" s="126"/>
      <c r="C21" s="126"/>
      <c r="D21" s="126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</row>
    <row r="22" spans="1:21" x14ac:dyDescent="0.3">
      <c r="A22" s="61" t="s">
        <v>42</v>
      </c>
      <c r="B22" s="61"/>
      <c r="C22" s="61"/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</row>
  </sheetData>
  <mergeCells count="139">
    <mergeCell ref="A1:A3"/>
    <mergeCell ref="B1:B3"/>
    <mergeCell ref="C1:C3"/>
    <mergeCell ref="D1:H1"/>
    <mergeCell ref="I1:M1"/>
    <mergeCell ref="N1:Q1"/>
    <mergeCell ref="N2:O2"/>
    <mergeCell ref="P2:Q2"/>
    <mergeCell ref="R1:T1"/>
    <mergeCell ref="J4:J6"/>
    <mergeCell ref="U1:U3"/>
    <mergeCell ref="D2:D3"/>
    <mergeCell ref="E2:E3"/>
    <mergeCell ref="F2:G2"/>
    <mergeCell ref="H2:H3"/>
    <mergeCell ref="I2:I3"/>
    <mergeCell ref="J2:J3"/>
    <mergeCell ref="K2:L2"/>
    <mergeCell ref="M2:M3"/>
    <mergeCell ref="R2:S2"/>
    <mergeCell ref="Q4:Q6"/>
    <mergeCell ref="R4:R6"/>
    <mergeCell ref="S4:S6"/>
    <mergeCell ref="T4:T6"/>
    <mergeCell ref="U4:U6"/>
    <mergeCell ref="O4:O6"/>
    <mergeCell ref="P4:P6"/>
    <mergeCell ref="S7:S9"/>
    <mergeCell ref="T7:T9"/>
    <mergeCell ref="U7:U9"/>
    <mergeCell ref="O7:O9"/>
    <mergeCell ref="P7:P9"/>
    <mergeCell ref="Q7:Q9"/>
    <mergeCell ref="R7:R9"/>
    <mergeCell ref="B4:B6"/>
    <mergeCell ref="B7:B9"/>
    <mergeCell ref="C7:C9"/>
    <mergeCell ref="D7:D9"/>
    <mergeCell ref="E7:E9"/>
    <mergeCell ref="F7:F9"/>
    <mergeCell ref="K4:K6"/>
    <mergeCell ref="L4:L6"/>
    <mergeCell ref="M4:M6"/>
    <mergeCell ref="N4:N6"/>
    <mergeCell ref="C4:C6"/>
    <mergeCell ref="D4:D6"/>
    <mergeCell ref="E4:E6"/>
    <mergeCell ref="F4:F6"/>
    <mergeCell ref="G4:G6"/>
    <mergeCell ref="H4:H6"/>
    <mergeCell ref="I4:I6"/>
    <mergeCell ref="B10:B12"/>
    <mergeCell ref="C10:C12"/>
    <mergeCell ref="D10:D12"/>
    <mergeCell ref="E10:E12"/>
    <mergeCell ref="F10:F12"/>
    <mergeCell ref="G10:G12"/>
    <mergeCell ref="H10:H12"/>
    <mergeCell ref="M7:M9"/>
    <mergeCell ref="N7:N9"/>
    <mergeCell ref="G7:G9"/>
    <mergeCell ref="H7:H9"/>
    <mergeCell ref="I7:I9"/>
    <mergeCell ref="J7:J9"/>
    <mergeCell ref="K7:K9"/>
    <mergeCell ref="L7:L9"/>
    <mergeCell ref="U10:U12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O10:O12"/>
    <mergeCell ref="P10:P12"/>
    <mergeCell ref="Q10:Q12"/>
    <mergeCell ref="R10:R12"/>
    <mergeCell ref="S10:S12"/>
    <mergeCell ref="T10:T12"/>
    <mergeCell ref="I10:I12"/>
    <mergeCell ref="J10:J12"/>
    <mergeCell ref="K10:K12"/>
    <mergeCell ref="L10:L12"/>
    <mergeCell ref="M10:M12"/>
    <mergeCell ref="N10:N12"/>
    <mergeCell ref="Q13:Q15"/>
    <mergeCell ref="R13:R15"/>
    <mergeCell ref="S13:S15"/>
    <mergeCell ref="T13:T15"/>
    <mergeCell ref="U13:U15"/>
    <mergeCell ref="B16:B18"/>
    <mergeCell ref="C16:C18"/>
    <mergeCell ref="D16:D18"/>
    <mergeCell ref="E16:E18"/>
    <mergeCell ref="F16:F18"/>
    <mergeCell ref="K13:K15"/>
    <mergeCell ref="L13:L15"/>
    <mergeCell ref="M13:M15"/>
    <mergeCell ref="N13:N15"/>
    <mergeCell ref="O13:O15"/>
    <mergeCell ref="P13:P15"/>
    <mergeCell ref="S16:S18"/>
    <mergeCell ref="T16:T18"/>
    <mergeCell ref="U16:U18"/>
    <mergeCell ref="O16:O18"/>
    <mergeCell ref="P16:P18"/>
    <mergeCell ref="Q16:Q18"/>
    <mergeCell ref="R16:R18"/>
    <mergeCell ref="B19:B21"/>
    <mergeCell ref="C19:C21"/>
    <mergeCell ref="D19:D21"/>
    <mergeCell ref="E19:E21"/>
    <mergeCell ref="F19:F21"/>
    <mergeCell ref="G19:G21"/>
    <mergeCell ref="H19:H21"/>
    <mergeCell ref="M16:M18"/>
    <mergeCell ref="N16:N18"/>
    <mergeCell ref="G16:G18"/>
    <mergeCell ref="H16:H18"/>
    <mergeCell ref="I16:I18"/>
    <mergeCell ref="J16:J18"/>
    <mergeCell ref="K16:K18"/>
    <mergeCell ref="L16:L18"/>
    <mergeCell ref="U19:U21"/>
    <mergeCell ref="O19:O21"/>
    <mergeCell ref="P19:P21"/>
    <mergeCell ref="Q19:Q21"/>
    <mergeCell ref="R19:R21"/>
    <mergeCell ref="S19:S21"/>
    <mergeCell ref="T19:T21"/>
    <mergeCell ref="I19:I21"/>
    <mergeCell ref="J19:J21"/>
    <mergeCell ref="K19:K21"/>
    <mergeCell ref="L19:L21"/>
    <mergeCell ref="M19:M21"/>
    <mergeCell ref="N19:N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</vt:lpstr>
      <vt:lpstr>OPD</vt:lpstr>
      <vt:lpstr>Patients</vt:lpstr>
      <vt:lpstr>LT</vt:lpstr>
      <vt:lpstr>Sheet5</vt:lpstr>
      <vt:lpstr>VHW</vt:lpstr>
      <vt:lpstr>Medicine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BAIRAGYA</dc:creator>
  <cp:lastModifiedBy>kumar shavik</cp:lastModifiedBy>
  <dcterms:created xsi:type="dcterms:W3CDTF">2023-11-14T02:31:33Z</dcterms:created>
  <dcterms:modified xsi:type="dcterms:W3CDTF">2023-11-25T17:47:53Z</dcterms:modified>
</cp:coreProperties>
</file>